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F60575F-90AC-43F9-B18F-68AF62B4F67C}" xr6:coauthVersionLast="47" xr6:coauthVersionMax="47" xr10:uidLastSave="{00000000-0000-0000-0000-000000000000}"/>
  <bookViews>
    <workbookView xWindow="-120" yWindow="-16320" windowWidth="29040" windowHeight="15720" tabRatio="500" firstSheet="3" activeTab="6" xr2:uid="{00000000-000D-0000-FFFF-FFFF00000000}"/>
  </bookViews>
  <sheets>
    <sheet name="Control Onion" sheetId="1" r:id="rId1"/>
    <sheet name="Acrostichum aureum" sheetId="2" r:id="rId2"/>
    <sheet name="Cyclosorus interruptus" sheetId="3" r:id="rId3"/>
    <sheet name="Ludwigia peruviana" sheetId="4" r:id="rId4"/>
    <sheet name="Quisqualis indica" sheetId="5" r:id="rId5"/>
    <sheet name="Control Pea Shoot" sheetId="6" r:id="rId6"/>
    <sheet name="Acrostichum shoot " sheetId="7" r:id="rId7"/>
    <sheet name="Quisqualis indica Shoot" sheetId="8" r:id="rId8"/>
    <sheet name="Ludwigia peruviana Shoot" sheetId="9" r:id="rId9"/>
    <sheet name="Cyclosorus interruptus Shoot" sheetId="10" r:id="rId10"/>
    <sheet name="Control Pea Root" sheetId="11" r:id="rId11"/>
    <sheet name="Acrostichum root (Pea)" sheetId="12" r:id="rId12"/>
    <sheet name="Quisqualis root (Pea)" sheetId="13" r:id="rId13"/>
    <sheet name="Ludwegia root (Pea) " sheetId="14" r:id="rId14"/>
    <sheet name="Cyclosorus root (Pea) " sheetId="15" r:id="rId15"/>
    <sheet name="Control Pea Total Length" sheetId="16" r:id="rId16"/>
    <sheet name="Cyclosorus TL (Pea)  " sheetId="17" r:id="rId17"/>
    <sheet name="Ludwegia TL(Pea) " sheetId="18" r:id="rId18"/>
    <sheet name="Acrostichum TL (Pea) " sheetId="19" r:id="rId19"/>
    <sheet name="Quisqualis TL (Pea)" sheetId="20" r:id="rId20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20" l="1"/>
  <c r="C14" i="20"/>
  <c r="D13" i="20"/>
  <c r="C13" i="20"/>
  <c r="D12" i="20"/>
  <c r="C12" i="20"/>
  <c r="D11" i="20"/>
  <c r="C11" i="20"/>
  <c r="H5" i="20"/>
  <c r="H4" i="20"/>
  <c r="H3" i="20"/>
  <c r="H2" i="20"/>
  <c r="D15" i="19"/>
  <c r="D14" i="19"/>
  <c r="C14" i="19"/>
  <c r="D13" i="19"/>
  <c r="C13" i="19"/>
  <c r="D12" i="19"/>
  <c r="C12" i="19"/>
  <c r="D11" i="19"/>
  <c r="C11" i="19"/>
  <c r="H5" i="19"/>
  <c r="H4" i="19"/>
  <c r="H3" i="19"/>
  <c r="H2" i="19"/>
  <c r="C15" i="18"/>
  <c r="D14" i="18"/>
  <c r="C14" i="18"/>
  <c r="D13" i="18"/>
  <c r="C13" i="18"/>
  <c r="D12" i="18"/>
  <c r="C12" i="18"/>
  <c r="D11" i="18"/>
  <c r="C11" i="18"/>
  <c r="H5" i="18"/>
  <c r="H4" i="18"/>
  <c r="H3" i="18"/>
  <c r="H2" i="18"/>
  <c r="D15" i="17"/>
  <c r="D14" i="17"/>
  <c r="C14" i="17"/>
  <c r="D13" i="17"/>
  <c r="C13" i="17"/>
  <c r="D12" i="17"/>
  <c r="C12" i="17"/>
  <c r="D11" i="17"/>
  <c r="C11" i="17"/>
  <c r="H4" i="17"/>
  <c r="H3" i="17"/>
  <c r="H2" i="17"/>
  <c r="F8" i="16"/>
  <c r="D15" i="20" s="1"/>
  <c r="E8" i="16"/>
  <c r="C15" i="20" s="1"/>
  <c r="M2" i="16"/>
  <c r="D14" i="15"/>
  <c r="C14" i="15"/>
  <c r="D13" i="15"/>
  <c r="C13" i="15"/>
  <c r="D12" i="15"/>
  <c r="C12" i="15"/>
  <c r="D11" i="15"/>
  <c r="C11" i="15"/>
  <c r="H5" i="15"/>
  <c r="H4" i="15"/>
  <c r="H3" i="15"/>
  <c r="H2" i="15"/>
  <c r="D14" i="14"/>
  <c r="C14" i="14"/>
  <c r="D13" i="14"/>
  <c r="C13" i="14"/>
  <c r="D12" i="14"/>
  <c r="C12" i="14"/>
  <c r="D11" i="14"/>
  <c r="C11" i="14"/>
  <c r="H5" i="14"/>
  <c r="H4" i="14"/>
  <c r="H3" i="14"/>
  <c r="H2" i="14"/>
  <c r="D14" i="13"/>
  <c r="C14" i="13"/>
  <c r="D13" i="13"/>
  <c r="C13" i="13"/>
  <c r="D12" i="13"/>
  <c r="C12" i="13"/>
  <c r="D11" i="13"/>
  <c r="C11" i="13"/>
  <c r="H5" i="13"/>
  <c r="H4" i="13"/>
  <c r="H3" i="13"/>
  <c r="H2" i="13"/>
  <c r="O21" i="12"/>
  <c r="D14" i="12"/>
  <c r="C14" i="12"/>
  <c r="D13" i="12"/>
  <c r="C13" i="12"/>
  <c r="D12" i="12"/>
  <c r="C12" i="12"/>
  <c r="D11" i="12"/>
  <c r="C11" i="12"/>
  <c r="H5" i="12"/>
  <c r="H4" i="12"/>
  <c r="H3" i="12"/>
  <c r="H2" i="12"/>
  <c r="F8" i="11"/>
  <c r="D15" i="14" s="1"/>
  <c r="E8" i="11"/>
  <c r="C15" i="14" s="1"/>
  <c r="M2" i="11"/>
  <c r="H26" i="10"/>
  <c r="G26" i="10"/>
  <c r="F26" i="10"/>
  <c r="E26" i="10"/>
  <c r="D26" i="10"/>
  <c r="H25" i="10"/>
  <c r="G25" i="10"/>
  <c r="F25" i="10"/>
  <c r="E25" i="10"/>
  <c r="D25" i="10"/>
  <c r="H24" i="10"/>
  <c r="G24" i="10"/>
  <c r="F24" i="10"/>
  <c r="E24" i="10"/>
  <c r="D24" i="10"/>
  <c r="C24" i="10"/>
  <c r="H23" i="10"/>
  <c r="G23" i="10"/>
  <c r="F23" i="10"/>
  <c r="E23" i="10"/>
  <c r="D23" i="10"/>
  <c r="H17" i="10"/>
  <c r="H16" i="10"/>
  <c r="H15" i="10"/>
  <c r="H14" i="10"/>
  <c r="H11" i="10"/>
  <c r="H10" i="10"/>
  <c r="H9" i="10"/>
  <c r="H8" i="10"/>
  <c r="H5" i="10"/>
  <c r="C26" i="10" s="1"/>
  <c r="H4" i="10"/>
  <c r="C25" i="10" s="1"/>
  <c r="H3" i="10"/>
  <c r="H2" i="10"/>
  <c r="C23" i="10" s="1"/>
  <c r="H27" i="9"/>
  <c r="D27" i="9"/>
  <c r="H26" i="9"/>
  <c r="G26" i="9"/>
  <c r="F26" i="9"/>
  <c r="E26" i="9"/>
  <c r="D26" i="9"/>
  <c r="C26" i="9"/>
  <c r="H25" i="9"/>
  <c r="G25" i="9"/>
  <c r="F25" i="9"/>
  <c r="E25" i="9"/>
  <c r="D25" i="9"/>
  <c r="H24" i="9"/>
  <c r="G24" i="9"/>
  <c r="F24" i="9"/>
  <c r="E24" i="9"/>
  <c r="D24" i="9"/>
  <c r="H23" i="9"/>
  <c r="G23" i="9"/>
  <c r="F23" i="9"/>
  <c r="E23" i="9"/>
  <c r="D23" i="9"/>
  <c r="H17" i="9"/>
  <c r="H16" i="9"/>
  <c r="H15" i="9"/>
  <c r="H14" i="9"/>
  <c r="H11" i="9"/>
  <c r="H10" i="9"/>
  <c r="H9" i="9"/>
  <c r="H8" i="9"/>
  <c r="H5" i="9"/>
  <c r="H4" i="9"/>
  <c r="C25" i="9" s="1"/>
  <c r="H3" i="9"/>
  <c r="C24" i="9" s="1"/>
  <c r="H2" i="9"/>
  <c r="C23" i="9" s="1"/>
  <c r="H26" i="8"/>
  <c r="G26" i="8"/>
  <c r="F26" i="8"/>
  <c r="E26" i="8"/>
  <c r="D26" i="8"/>
  <c r="H25" i="8"/>
  <c r="G25" i="8"/>
  <c r="F25" i="8"/>
  <c r="E25" i="8"/>
  <c r="D25" i="8"/>
  <c r="H24" i="8"/>
  <c r="G24" i="8"/>
  <c r="F24" i="8"/>
  <c r="E24" i="8"/>
  <c r="D24" i="8"/>
  <c r="C24" i="8"/>
  <c r="H23" i="8"/>
  <c r="G23" i="8"/>
  <c r="F23" i="8"/>
  <c r="E23" i="8"/>
  <c r="D23" i="8"/>
  <c r="H17" i="8"/>
  <c r="H16" i="8"/>
  <c r="H15" i="8"/>
  <c r="H14" i="8"/>
  <c r="H11" i="8"/>
  <c r="H10" i="8"/>
  <c r="H9" i="8"/>
  <c r="H8" i="8"/>
  <c r="H5" i="8"/>
  <c r="C26" i="8" s="1"/>
  <c r="H4" i="8"/>
  <c r="C25" i="8" s="1"/>
  <c r="H3" i="8"/>
  <c r="H2" i="8"/>
  <c r="C23" i="8" s="1"/>
  <c r="H27" i="7"/>
  <c r="D27" i="7"/>
  <c r="H26" i="7"/>
  <c r="G26" i="7"/>
  <c r="F26" i="7"/>
  <c r="E26" i="7"/>
  <c r="D26" i="7"/>
  <c r="C26" i="7"/>
  <c r="H25" i="7"/>
  <c r="G25" i="7"/>
  <c r="F25" i="7"/>
  <c r="E25" i="7"/>
  <c r="D25" i="7"/>
  <c r="H24" i="7"/>
  <c r="G24" i="7"/>
  <c r="F24" i="7"/>
  <c r="E24" i="7"/>
  <c r="D24" i="7"/>
  <c r="H23" i="7"/>
  <c r="G23" i="7"/>
  <c r="F23" i="7"/>
  <c r="E23" i="7"/>
  <c r="D23" i="7"/>
  <c r="H17" i="7"/>
  <c r="H16" i="7"/>
  <c r="H15" i="7"/>
  <c r="H14" i="7"/>
  <c r="H11" i="7"/>
  <c r="H10" i="7"/>
  <c r="H9" i="7"/>
  <c r="H8" i="7"/>
  <c r="H5" i="7"/>
  <c r="H4" i="7"/>
  <c r="C25" i="7" s="1"/>
  <c r="H3" i="7"/>
  <c r="C24" i="7" s="1"/>
  <c r="H2" i="7"/>
  <c r="C23" i="7" s="1"/>
  <c r="J10" i="6"/>
  <c r="H27" i="10" s="1"/>
  <c r="I10" i="6"/>
  <c r="G27" i="9" s="1"/>
  <c r="H10" i="6"/>
  <c r="F27" i="9" s="1"/>
  <c r="G10" i="6"/>
  <c r="E27" i="10" s="1"/>
  <c r="F10" i="6"/>
  <c r="D27" i="10" s="1"/>
  <c r="E10" i="6"/>
  <c r="C27" i="9" s="1"/>
  <c r="M4" i="6"/>
  <c r="M3" i="6"/>
  <c r="M2" i="6"/>
  <c r="H25" i="5"/>
  <c r="G25" i="5"/>
  <c r="F25" i="5"/>
  <c r="E25" i="5"/>
  <c r="D25" i="5"/>
  <c r="C25" i="5"/>
  <c r="H24" i="5"/>
  <c r="G24" i="5"/>
  <c r="F24" i="5"/>
  <c r="E24" i="5"/>
  <c r="D24" i="5"/>
  <c r="C24" i="5"/>
  <c r="H23" i="5"/>
  <c r="G23" i="5"/>
  <c r="F23" i="5"/>
  <c r="E23" i="5"/>
  <c r="D23" i="5"/>
  <c r="C23" i="5"/>
  <c r="H22" i="5"/>
  <c r="G22" i="5"/>
  <c r="F22" i="5"/>
  <c r="E22" i="5"/>
  <c r="D22" i="5"/>
  <c r="C22" i="5"/>
  <c r="M17" i="5"/>
  <c r="M16" i="5"/>
  <c r="M15" i="5"/>
  <c r="M14" i="5"/>
  <c r="M11" i="5"/>
  <c r="M10" i="5"/>
  <c r="M9" i="5"/>
  <c r="M8" i="5"/>
  <c r="M5" i="5"/>
  <c r="M4" i="5"/>
  <c r="M3" i="5"/>
  <c r="M2" i="5"/>
  <c r="H25" i="4"/>
  <c r="G25" i="4"/>
  <c r="F25" i="4"/>
  <c r="E25" i="4"/>
  <c r="D25" i="4"/>
  <c r="C25" i="4"/>
  <c r="H24" i="4"/>
  <c r="G24" i="4"/>
  <c r="F24" i="4"/>
  <c r="E24" i="4"/>
  <c r="D24" i="4"/>
  <c r="C24" i="4"/>
  <c r="H23" i="4"/>
  <c r="G23" i="4"/>
  <c r="F23" i="4"/>
  <c r="E23" i="4"/>
  <c r="D23" i="4"/>
  <c r="C23" i="4"/>
  <c r="H22" i="4"/>
  <c r="G22" i="4"/>
  <c r="F22" i="4"/>
  <c r="E22" i="4"/>
  <c r="D22" i="4"/>
  <c r="C22" i="4"/>
  <c r="M17" i="4"/>
  <c r="M16" i="4"/>
  <c r="M15" i="4"/>
  <c r="M14" i="4"/>
  <c r="M11" i="4"/>
  <c r="M10" i="4"/>
  <c r="M9" i="4"/>
  <c r="M8" i="4"/>
  <c r="M5" i="4"/>
  <c r="M4" i="4"/>
  <c r="M3" i="4"/>
  <c r="M2" i="4"/>
  <c r="H25" i="3"/>
  <c r="G25" i="3"/>
  <c r="F25" i="3"/>
  <c r="E25" i="3"/>
  <c r="D25" i="3"/>
  <c r="C25" i="3"/>
  <c r="H24" i="3"/>
  <c r="G24" i="3"/>
  <c r="F24" i="3"/>
  <c r="E24" i="3"/>
  <c r="D24" i="3"/>
  <c r="C24" i="3"/>
  <c r="H23" i="3"/>
  <c r="G23" i="3"/>
  <c r="F23" i="3"/>
  <c r="E23" i="3"/>
  <c r="D23" i="3"/>
  <c r="C23" i="3"/>
  <c r="H22" i="3"/>
  <c r="G22" i="3"/>
  <c r="F22" i="3"/>
  <c r="E22" i="3"/>
  <c r="D22" i="3"/>
  <c r="C22" i="3"/>
  <c r="M17" i="3"/>
  <c r="M16" i="3"/>
  <c r="M15" i="3"/>
  <c r="M14" i="3"/>
  <c r="M11" i="3"/>
  <c r="M10" i="3"/>
  <c r="M9" i="3"/>
  <c r="M8" i="3"/>
  <c r="M5" i="3"/>
  <c r="M4" i="3"/>
  <c r="M3" i="3"/>
  <c r="M2" i="3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M17" i="2"/>
  <c r="M16" i="2"/>
  <c r="M15" i="2"/>
  <c r="M14" i="2"/>
  <c r="M11" i="2"/>
  <c r="M10" i="2"/>
  <c r="M9" i="2"/>
  <c r="M8" i="2"/>
  <c r="M5" i="2"/>
  <c r="M4" i="2"/>
  <c r="M3" i="2"/>
  <c r="M2" i="2"/>
  <c r="J10" i="1"/>
  <c r="H26" i="4" s="1"/>
  <c r="I10" i="1"/>
  <c r="G26" i="4" s="1"/>
  <c r="H10" i="1"/>
  <c r="F26" i="5" s="1"/>
  <c r="G10" i="1"/>
  <c r="E26" i="5" s="1"/>
  <c r="F10" i="1"/>
  <c r="D26" i="4" s="1"/>
  <c r="E10" i="1"/>
  <c r="C26" i="4" s="1"/>
  <c r="M4" i="1"/>
  <c r="M3" i="1"/>
  <c r="M2" i="1"/>
  <c r="E26" i="2" l="1"/>
  <c r="E26" i="4"/>
  <c r="C15" i="13"/>
  <c r="C15" i="15"/>
  <c r="C15" i="17"/>
  <c r="C15" i="19"/>
  <c r="C26" i="3"/>
  <c r="G26" i="3"/>
  <c r="C26" i="5"/>
  <c r="G26" i="5"/>
  <c r="F27" i="8"/>
  <c r="F27" i="10"/>
  <c r="F26" i="2"/>
  <c r="D26" i="3"/>
  <c r="H26" i="3"/>
  <c r="F26" i="4"/>
  <c r="D26" i="5"/>
  <c r="H26" i="5"/>
  <c r="E27" i="7"/>
  <c r="C27" i="8"/>
  <c r="G27" i="8"/>
  <c r="E27" i="9"/>
  <c r="C27" i="10"/>
  <c r="G27" i="10"/>
  <c r="C26" i="2"/>
  <c r="G26" i="2"/>
  <c r="E26" i="3"/>
  <c r="F27" i="7"/>
  <c r="D27" i="8"/>
  <c r="H27" i="8"/>
  <c r="C15" i="12"/>
  <c r="D15" i="13"/>
  <c r="D15" i="15"/>
  <c r="D26" i="2"/>
  <c r="H26" i="2"/>
  <c r="F26" i="3"/>
  <c r="C27" i="7"/>
  <c r="G27" i="7"/>
  <c r="E27" i="8"/>
  <c r="D15" i="12"/>
  <c r="D15" i="18"/>
</calcChain>
</file>

<file path=xl/sharedStrings.xml><?xml version="1.0" encoding="utf-8"?>
<sst xmlns="http://schemas.openxmlformats.org/spreadsheetml/2006/main" count="540" uniqueCount="35">
  <si>
    <t>Control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</si>
  <si>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</si>
  <si>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</si>
  <si>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</si>
  <si>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</si>
  <si>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</si>
  <si>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</si>
  <si>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</si>
  <si>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</si>
  <si>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</si>
  <si>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</si>
  <si>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Mean</t>
  </si>
  <si>
    <t>Day 3</t>
  </si>
  <si>
    <t>0.1,0.2,0.3, 0.5</t>
  </si>
  <si>
    <t>Day 5</t>
  </si>
  <si>
    <t>Day 7</t>
  </si>
  <si>
    <t>Biochar Concentration</t>
  </si>
  <si>
    <t>SD</t>
  </si>
  <si>
    <t>Concentration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</si>
  <si>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</si>
  <si>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</si>
  <si>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</si>
  <si>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</si>
  <si>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</si>
  <si>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</si>
  <si>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</si>
  <si>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</si>
  <si>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</si>
  <si>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</si>
  <si>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Shoot1</t>
  </si>
  <si>
    <t>Shoot2</t>
  </si>
  <si>
    <t>Shoot3</t>
  </si>
  <si>
    <t>Shoot4</t>
  </si>
  <si>
    <t>Shoot5</t>
  </si>
  <si>
    <t xml:space="preserve">Control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</si>
</sst>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34"/>
    </font>
    <font>
      <b/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E7E6E6"/>
      </patternFill>
    </fill>
    <fill>
      <patternFill patternType="solid">
        <fgColor rgb="FFE7E6E6"/>
        <bgColor rgb="FFD9D9D9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3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Acrostichum aureum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'Acrostichum aureum'!$C$20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'Acrostichum aureum'!$D$22:$D$26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0.6</c:v>
                  </c:pt>
                  <c:pt idx="2">
                    <c:v>0.2</c:v>
                  </c:pt>
                  <c:pt idx="3">
                    <c:v>0.41</c:v>
                  </c:pt>
                  <c:pt idx="4">
                    <c:v>0.37</c:v>
                  </c:pt>
                </c:numCache>
              </c:numRef>
            </c:plus>
            <c:minus>
              <c:numRef>
                <c:f>'Acrostichum aureum'!$D$22:$D$26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0.6</c:v>
                  </c:pt>
                  <c:pt idx="2">
                    <c:v>0.2</c:v>
                  </c:pt>
                  <c:pt idx="3">
                    <c:v>0.41</c:v>
                  </c:pt>
                  <c:pt idx="4">
                    <c:v>0.37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'Acrostichum aureum'!$B$22:$B$26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'Acrostichum aureum'!$C$22:$C$26</c:f>
              <c:numCache>
                <c:formatCode>General</c:formatCode>
                <c:ptCount val="5"/>
                <c:pt idx="0">
                  <c:v>0</c:v>
                </c:pt>
                <c:pt idx="1">
                  <c:v>2.37</c:v>
                </c:pt>
                <c:pt idx="2">
                  <c:v>2.1900000000000004</c:v>
                </c:pt>
                <c:pt idx="3">
                  <c:v>2.5800000000000005</c:v>
                </c:pt>
                <c:pt idx="4">
                  <c:v>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0-45C9-9ED7-BCDA57C29280}"/>
            </c:ext>
          </c:extLst>
        </c:ser>
        <c:ser>
          <c:idx val="1"/>
          <c:order val="1"/>
          <c:tx>
            <c:strRef>
              <c:f>'Acrostichum aureum'!$E$20</c:f>
              <c:strCache>
                <c:ptCount val="1"/>
                <c:pt idx="0">
                  <c:v>Day 5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'Acrostichum aureum'!$F$22:$F$26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0.35</c:v>
                  </c:pt>
                  <c:pt idx="2">
                    <c:v>0.5</c:v>
                  </c:pt>
                  <c:pt idx="3">
                    <c:v>0.35</c:v>
                  </c:pt>
                  <c:pt idx="4">
                    <c:v>0.56999999999999995</c:v>
                  </c:pt>
                </c:numCache>
              </c:numRef>
            </c:plus>
            <c:minus>
              <c:numRef>
                <c:f>'Acrostichum aureum'!$F$22:$F$26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0.35</c:v>
                  </c:pt>
                  <c:pt idx="2">
                    <c:v>0.5</c:v>
                  </c:pt>
                  <c:pt idx="3">
                    <c:v>0.35</c:v>
                  </c:pt>
                  <c:pt idx="4">
                    <c:v>0.56999999999999995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'Acrostichum aureum'!$B$22:$B$26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'Acrostichum aureum'!$E$22:$E$26</c:f>
              <c:numCache>
                <c:formatCode>General</c:formatCode>
                <c:ptCount val="5"/>
                <c:pt idx="0">
                  <c:v>0</c:v>
                </c:pt>
                <c:pt idx="1">
                  <c:v>5.14</c:v>
                </c:pt>
                <c:pt idx="2">
                  <c:v>5</c:v>
                </c:pt>
                <c:pt idx="3">
                  <c:v>5.54</c:v>
                </c:pt>
                <c:pt idx="4">
                  <c:v>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80-45C9-9ED7-BCDA57C29280}"/>
            </c:ext>
          </c:extLst>
        </c:ser>
        <c:ser>
          <c:idx val="2"/>
          <c:order val="2"/>
          <c:tx>
            <c:strRef>
              <c:f>'Acrostichum aureum'!$G$20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'Acrostichum aureum'!$H$22:$H$26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0.53</c:v>
                  </c:pt>
                  <c:pt idx="2">
                    <c:v>0.45</c:v>
                  </c:pt>
                  <c:pt idx="3">
                    <c:v>0.54</c:v>
                  </c:pt>
                  <c:pt idx="4">
                    <c:v>0.48</c:v>
                  </c:pt>
                </c:numCache>
              </c:numRef>
            </c:plus>
            <c:minus>
              <c:numRef>
                <c:f>'Acrostichum aureum'!$H$22:$H$26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0.53</c:v>
                  </c:pt>
                  <c:pt idx="2">
                    <c:v>0.45</c:v>
                  </c:pt>
                  <c:pt idx="3">
                    <c:v>0.54</c:v>
                  </c:pt>
                  <c:pt idx="4">
                    <c:v>0.48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'Acrostichum aureum'!$B$22:$B$26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'Acrostichum aureum'!$G$22:$G$26</c:f>
              <c:numCache>
                <c:formatCode>General</c:formatCode>
                <c:ptCount val="5"/>
                <c:pt idx="0">
                  <c:v>0</c:v>
                </c:pt>
                <c:pt idx="1">
                  <c:v>6.36</c:v>
                </c:pt>
                <c:pt idx="2">
                  <c:v>7.3899999999999988</c:v>
                </c:pt>
                <c:pt idx="3">
                  <c:v>7.5400000000000009</c:v>
                </c:pt>
                <c:pt idx="4">
                  <c:v>5.6100000000000012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80-45C9-9ED7-BCDA57C29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84132"/>
        <c:axId val="93812771"/>
      </c:barChart>
      <c:catAx>
        <c:axId val="992841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3812771"/>
        <c:crosses val="autoZero"/>
        <c:auto val="1"/>
        <c:lblAlgn val="ctr"/>
        <c:lblOffset val="100"/>
        <c:noMultiLvlLbl val="0"/>
      </c:catAx>
      <c:valAx>
        <c:axId val="9381277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Times New Roman"/>
                    <a:ea typeface="Times New Roman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Times New Roman"/>
                    <a:ea typeface="Times New Roman"/>
                  </a:rPr>
                  <a:t>Root 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92841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Cyclosorus interruptus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'Cyclosorus interruptus'!$C$20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'Cyclosorus interruptus'!$D$22:$D$26</c:f>
                <c:numCache>
                  <c:formatCode>General</c:formatCode>
                  <c:ptCount val="5"/>
                  <c:pt idx="0">
                    <c:v>0.28000000000000003</c:v>
                  </c:pt>
                  <c:pt idx="1">
                    <c:v>0.36</c:v>
                  </c:pt>
                  <c:pt idx="2">
                    <c:v>0.31</c:v>
                  </c:pt>
                  <c:pt idx="3">
                    <c:v>0.19</c:v>
                  </c:pt>
                  <c:pt idx="4">
                    <c:v>0.37</c:v>
                  </c:pt>
                </c:numCache>
              </c:numRef>
            </c:plus>
            <c:minus>
              <c:numRef>
                <c:f>'Cyclosorus interruptus'!$D$22:$D$26</c:f>
                <c:numCache>
                  <c:formatCode>General</c:formatCode>
                  <c:ptCount val="5"/>
                  <c:pt idx="0">
                    <c:v>0.28000000000000003</c:v>
                  </c:pt>
                  <c:pt idx="1">
                    <c:v>0.36</c:v>
                  </c:pt>
                  <c:pt idx="2">
                    <c:v>0.31</c:v>
                  </c:pt>
                  <c:pt idx="3">
                    <c:v>0.19</c:v>
                  </c:pt>
                  <c:pt idx="4">
                    <c:v>0.37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'Cyclosorus interruptus'!$B$22:$B$26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'Cyclosorus interruptus'!$C$22:$C$26</c:f>
              <c:numCache>
                <c:formatCode>General</c:formatCode>
                <c:ptCount val="5"/>
                <c:pt idx="0">
                  <c:v>1.2600000000000002</c:v>
                </c:pt>
                <c:pt idx="1">
                  <c:v>1.5</c:v>
                </c:pt>
                <c:pt idx="2">
                  <c:v>1.92</c:v>
                </c:pt>
                <c:pt idx="3">
                  <c:v>2.77</c:v>
                </c:pt>
                <c:pt idx="4">
                  <c:v>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D-43D8-8366-F9B394D81BF3}"/>
            </c:ext>
          </c:extLst>
        </c:ser>
        <c:ser>
          <c:idx val="1"/>
          <c:order val="1"/>
          <c:tx>
            <c:strRef>
              <c:f>'Cyclosorus interruptus'!$E$20</c:f>
              <c:strCache>
                <c:ptCount val="1"/>
                <c:pt idx="0">
                  <c:v>Day 5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'Cyclosorus interruptus'!$F$22:$F$26</c:f>
                <c:numCache>
                  <c:formatCode>General</c:formatCode>
                  <c:ptCount val="5"/>
                  <c:pt idx="0">
                    <c:v>0.49</c:v>
                  </c:pt>
                  <c:pt idx="1">
                    <c:v>0.52</c:v>
                  </c:pt>
                  <c:pt idx="2">
                    <c:v>0.47</c:v>
                  </c:pt>
                  <c:pt idx="3">
                    <c:v>0.43</c:v>
                  </c:pt>
                  <c:pt idx="4">
                    <c:v>0.56999999999999995</c:v>
                  </c:pt>
                </c:numCache>
              </c:numRef>
            </c:plus>
            <c:minus>
              <c:numRef>
                <c:f>'Cyclosorus interruptus'!$F$22:$F$26</c:f>
                <c:numCache>
                  <c:formatCode>General</c:formatCode>
                  <c:ptCount val="5"/>
                  <c:pt idx="0">
                    <c:v>0.49</c:v>
                  </c:pt>
                  <c:pt idx="1">
                    <c:v>0.52</c:v>
                  </c:pt>
                  <c:pt idx="2">
                    <c:v>0.47</c:v>
                  </c:pt>
                  <c:pt idx="3">
                    <c:v>0.43</c:v>
                  </c:pt>
                  <c:pt idx="4">
                    <c:v>0.56999999999999995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'Cyclosorus interruptus'!$B$22:$B$26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'Cyclosorus interruptus'!$E$22:$E$26</c:f>
              <c:numCache>
                <c:formatCode>General</c:formatCode>
                <c:ptCount val="5"/>
                <c:pt idx="0">
                  <c:v>2.3500000000000005</c:v>
                </c:pt>
                <c:pt idx="1">
                  <c:v>2.9200000000000004</c:v>
                </c:pt>
                <c:pt idx="2">
                  <c:v>3.7700000000000005</c:v>
                </c:pt>
                <c:pt idx="3">
                  <c:v>5.6899999999999995</c:v>
                </c:pt>
                <c:pt idx="4">
                  <c:v>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1D-43D8-8366-F9B394D81BF3}"/>
            </c:ext>
          </c:extLst>
        </c:ser>
        <c:ser>
          <c:idx val="2"/>
          <c:order val="2"/>
          <c:tx>
            <c:strRef>
              <c:f>'Cyclosorus interruptus'!$G$20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'Cyclosorus interruptus'!$H$22:$H$26</c:f>
                <c:numCache>
                  <c:formatCode>General</c:formatCode>
                  <c:ptCount val="5"/>
                  <c:pt idx="0">
                    <c:v>0.86</c:v>
                  </c:pt>
                  <c:pt idx="1">
                    <c:v>0.62</c:v>
                  </c:pt>
                  <c:pt idx="2">
                    <c:v>0.52</c:v>
                  </c:pt>
                  <c:pt idx="3">
                    <c:v>1.03</c:v>
                  </c:pt>
                  <c:pt idx="4">
                    <c:v>0.48</c:v>
                  </c:pt>
                </c:numCache>
              </c:numRef>
            </c:plus>
            <c:minus>
              <c:numRef>
                <c:f>'Cyclosorus interruptus'!$H$22:$H$26</c:f>
                <c:numCache>
                  <c:formatCode>General</c:formatCode>
                  <c:ptCount val="5"/>
                  <c:pt idx="0">
                    <c:v>0.86</c:v>
                  </c:pt>
                  <c:pt idx="1">
                    <c:v>0.62</c:v>
                  </c:pt>
                  <c:pt idx="2">
                    <c:v>0.52</c:v>
                  </c:pt>
                  <c:pt idx="3">
                    <c:v>1.03</c:v>
                  </c:pt>
                  <c:pt idx="4">
                    <c:v>0.48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'Cyclosorus interruptus'!$B$22:$B$26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'Cyclosorus interruptus'!$G$22:$G$26</c:f>
              <c:numCache>
                <c:formatCode>General</c:formatCode>
                <c:ptCount val="5"/>
                <c:pt idx="0">
                  <c:v>3.2399999999999998</c:v>
                </c:pt>
                <c:pt idx="1">
                  <c:v>3.79</c:v>
                </c:pt>
                <c:pt idx="2">
                  <c:v>4.8800000000000008</c:v>
                </c:pt>
                <c:pt idx="3">
                  <c:v>7.1599999999999993</c:v>
                </c:pt>
                <c:pt idx="4">
                  <c:v>5.6100000000000012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1D-43D8-8366-F9B394D81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92899"/>
        <c:axId val="45875302"/>
      </c:barChart>
      <c:catAx>
        <c:axId val="396928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875302"/>
        <c:crosses val="autoZero"/>
        <c:auto val="1"/>
        <c:lblAlgn val="ctr"/>
        <c:lblOffset val="100"/>
        <c:noMultiLvlLbl val="0"/>
      </c:catAx>
      <c:valAx>
        <c:axId val="458753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Root 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96928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Ludwigia peruviana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'Ludwigia peruviana'!$C$20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'Ludwigia peruviana'!$D$22:$D$26</c:f>
                <c:numCache>
                  <c:formatCode>General</c:formatCode>
                  <c:ptCount val="5"/>
                  <c:pt idx="0">
                    <c:v>0.47</c:v>
                  </c:pt>
                  <c:pt idx="1">
                    <c:v>0.19</c:v>
                  </c:pt>
                  <c:pt idx="2">
                    <c:v>0.26</c:v>
                  </c:pt>
                  <c:pt idx="3">
                    <c:v>0.73</c:v>
                  </c:pt>
                  <c:pt idx="4">
                    <c:v>0.37</c:v>
                  </c:pt>
                </c:numCache>
              </c:numRef>
            </c:plus>
            <c:minus>
              <c:numRef>
                <c:f>'Ludwigia peruviana'!$D$22:$D$26</c:f>
                <c:numCache>
                  <c:formatCode>General</c:formatCode>
                  <c:ptCount val="5"/>
                  <c:pt idx="0">
                    <c:v>0.47</c:v>
                  </c:pt>
                  <c:pt idx="1">
                    <c:v>0.19</c:v>
                  </c:pt>
                  <c:pt idx="2">
                    <c:v>0.26</c:v>
                  </c:pt>
                  <c:pt idx="3">
                    <c:v>0.73</c:v>
                  </c:pt>
                  <c:pt idx="4">
                    <c:v>0.37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'Ludwigia peruviana'!$B$22:$B$26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'Ludwigia peruviana'!$C$22:$C$26</c:f>
              <c:numCache>
                <c:formatCode>General</c:formatCode>
                <c:ptCount val="5"/>
                <c:pt idx="0">
                  <c:v>2.34</c:v>
                </c:pt>
                <c:pt idx="1">
                  <c:v>1.9300000000000002</c:v>
                </c:pt>
                <c:pt idx="2">
                  <c:v>2.02</c:v>
                </c:pt>
                <c:pt idx="3">
                  <c:v>2.34</c:v>
                </c:pt>
                <c:pt idx="4">
                  <c:v>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6-4D80-ADE1-D6C94B9CF29F}"/>
            </c:ext>
          </c:extLst>
        </c:ser>
        <c:ser>
          <c:idx val="1"/>
          <c:order val="1"/>
          <c:tx>
            <c:strRef>
              <c:f>'Ludwigia peruviana'!$E$20</c:f>
              <c:strCache>
                <c:ptCount val="1"/>
                <c:pt idx="0">
                  <c:v>Day 5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'Ludwigia peruviana'!$F$22:$F$26</c:f>
                <c:numCache>
                  <c:formatCode>General</c:formatCode>
                  <c:ptCount val="5"/>
                  <c:pt idx="0">
                    <c:v>0.64</c:v>
                  </c:pt>
                  <c:pt idx="1">
                    <c:v>0.52</c:v>
                  </c:pt>
                  <c:pt idx="2">
                    <c:v>0.42</c:v>
                  </c:pt>
                  <c:pt idx="3">
                    <c:v>1.2</c:v>
                  </c:pt>
                  <c:pt idx="4">
                    <c:v>0.56999999999999995</c:v>
                  </c:pt>
                </c:numCache>
              </c:numRef>
            </c:plus>
            <c:minus>
              <c:numRef>
                <c:f>'Ludwigia peruviana'!$F$22:$F$26</c:f>
                <c:numCache>
                  <c:formatCode>General</c:formatCode>
                  <c:ptCount val="5"/>
                  <c:pt idx="0">
                    <c:v>0.64</c:v>
                  </c:pt>
                  <c:pt idx="1">
                    <c:v>0.52</c:v>
                  </c:pt>
                  <c:pt idx="2">
                    <c:v>0.42</c:v>
                  </c:pt>
                  <c:pt idx="3">
                    <c:v>1.2</c:v>
                  </c:pt>
                  <c:pt idx="4">
                    <c:v>0.56999999999999995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'Ludwigia peruviana'!$B$22:$B$26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'Ludwigia peruviana'!$E$22:$E$26</c:f>
              <c:numCache>
                <c:formatCode>General</c:formatCode>
                <c:ptCount val="5"/>
                <c:pt idx="0">
                  <c:v>5.2700000000000005</c:v>
                </c:pt>
                <c:pt idx="1">
                  <c:v>3.85</c:v>
                </c:pt>
                <c:pt idx="2">
                  <c:v>5.99</c:v>
                </c:pt>
                <c:pt idx="3">
                  <c:v>6.13</c:v>
                </c:pt>
                <c:pt idx="4">
                  <c:v>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46-4D80-ADE1-D6C94B9CF29F}"/>
            </c:ext>
          </c:extLst>
        </c:ser>
        <c:ser>
          <c:idx val="2"/>
          <c:order val="2"/>
          <c:tx>
            <c:strRef>
              <c:f>'Ludwigia peruviana'!$G$20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'Ludwigia peruviana'!$H$22:$H$26</c:f>
                <c:numCache>
                  <c:formatCode>General</c:formatCode>
                  <c:ptCount val="5"/>
                  <c:pt idx="0">
                    <c:v>0.7</c:v>
                  </c:pt>
                  <c:pt idx="1">
                    <c:v>0.5</c:v>
                  </c:pt>
                  <c:pt idx="2">
                    <c:v>0.67</c:v>
                  </c:pt>
                  <c:pt idx="3">
                    <c:v>0.91</c:v>
                  </c:pt>
                  <c:pt idx="4">
                    <c:v>0.48</c:v>
                  </c:pt>
                </c:numCache>
              </c:numRef>
            </c:plus>
            <c:minus>
              <c:numRef>
                <c:f>'Ludwigia peruviana'!$H$22:$H$26</c:f>
                <c:numCache>
                  <c:formatCode>General</c:formatCode>
                  <c:ptCount val="5"/>
                  <c:pt idx="0">
                    <c:v>0.7</c:v>
                  </c:pt>
                  <c:pt idx="1">
                    <c:v>0.5</c:v>
                  </c:pt>
                  <c:pt idx="2">
                    <c:v>0.67</c:v>
                  </c:pt>
                  <c:pt idx="3">
                    <c:v>0.91</c:v>
                  </c:pt>
                  <c:pt idx="4">
                    <c:v>0.48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'Ludwigia peruviana'!$B$22:$B$26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'Ludwigia peruviana'!$G$22:$G$26</c:f>
              <c:numCache>
                <c:formatCode>General</c:formatCode>
                <c:ptCount val="5"/>
                <c:pt idx="0">
                  <c:v>5.8199999999999994</c:v>
                </c:pt>
                <c:pt idx="1">
                  <c:v>4.2300000000000004</c:v>
                </c:pt>
                <c:pt idx="2">
                  <c:v>7.2900000000000009</c:v>
                </c:pt>
                <c:pt idx="3">
                  <c:v>6.5</c:v>
                </c:pt>
                <c:pt idx="4">
                  <c:v>5.6100000000000012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46-4D80-ADE1-D6C94B9C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5790"/>
        <c:axId val="97617499"/>
      </c:barChart>
      <c:catAx>
        <c:axId val="716057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7617499"/>
        <c:crosses val="autoZero"/>
        <c:auto val="1"/>
        <c:lblAlgn val="ctr"/>
        <c:lblOffset val="100"/>
        <c:noMultiLvlLbl val="0"/>
      </c:catAx>
      <c:valAx>
        <c:axId val="976174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Root 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16057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Quisqualis indica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'Quisqualis indica'!$C$20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'Quisqualis indica'!$D$22:$D$26</c:f>
                <c:numCache>
                  <c:formatCode>General</c:formatCode>
                  <c:ptCount val="5"/>
                  <c:pt idx="0">
                    <c:v>0.31</c:v>
                  </c:pt>
                  <c:pt idx="1">
                    <c:v>0.77</c:v>
                  </c:pt>
                  <c:pt idx="2">
                    <c:v>0.23</c:v>
                  </c:pt>
                  <c:pt idx="3">
                    <c:v>0.3</c:v>
                  </c:pt>
                  <c:pt idx="4">
                    <c:v>0.37</c:v>
                  </c:pt>
                </c:numCache>
              </c:numRef>
            </c:plus>
            <c:minus>
              <c:numRef>
                <c:f>'Quisqualis indica'!$D$22:$D$26</c:f>
                <c:numCache>
                  <c:formatCode>General</c:formatCode>
                  <c:ptCount val="5"/>
                  <c:pt idx="0">
                    <c:v>0.31</c:v>
                  </c:pt>
                  <c:pt idx="1">
                    <c:v>0.77</c:v>
                  </c:pt>
                  <c:pt idx="2">
                    <c:v>0.23</c:v>
                  </c:pt>
                  <c:pt idx="3">
                    <c:v>0.3</c:v>
                  </c:pt>
                  <c:pt idx="4">
                    <c:v>0.37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'Quisqualis indica'!$B$22:$B$26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'Quisqualis indica'!$C$22:$C$26</c:f>
              <c:numCache>
                <c:formatCode>General</c:formatCode>
                <c:ptCount val="5"/>
                <c:pt idx="0">
                  <c:v>1.7100000000000002</c:v>
                </c:pt>
                <c:pt idx="1">
                  <c:v>1.9899999999999998</c:v>
                </c:pt>
                <c:pt idx="2">
                  <c:v>1.92</c:v>
                </c:pt>
                <c:pt idx="3">
                  <c:v>2.0100000000000002</c:v>
                </c:pt>
                <c:pt idx="4">
                  <c:v>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2-4E32-8C18-17437B69A8D5}"/>
            </c:ext>
          </c:extLst>
        </c:ser>
        <c:ser>
          <c:idx val="1"/>
          <c:order val="1"/>
          <c:tx>
            <c:strRef>
              <c:f>'Quisqualis indica'!$E$20</c:f>
              <c:strCache>
                <c:ptCount val="1"/>
                <c:pt idx="0">
                  <c:v>Day 5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'Quisqualis indica'!$F$22:$F$26</c:f>
                <c:numCache>
                  <c:formatCode>General</c:formatCode>
                  <c:ptCount val="5"/>
                  <c:pt idx="0">
                    <c:v>0.87</c:v>
                  </c:pt>
                  <c:pt idx="1">
                    <c:v>0.57999999999999996</c:v>
                  </c:pt>
                  <c:pt idx="2">
                    <c:v>0.44</c:v>
                  </c:pt>
                  <c:pt idx="3">
                    <c:v>0.6</c:v>
                  </c:pt>
                  <c:pt idx="4">
                    <c:v>0.56999999999999995</c:v>
                  </c:pt>
                </c:numCache>
              </c:numRef>
            </c:plus>
            <c:minus>
              <c:numRef>
                <c:f>'Quisqualis indica'!$F$22:$F$26</c:f>
                <c:numCache>
                  <c:formatCode>General</c:formatCode>
                  <c:ptCount val="5"/>
                  <c:pt idx="0">
                    <c:v>0.87</c:v>
                  </c:pt>
                  <c:pt idx="1">
                    <c:v>0.57999999999999996</c:v>
                  </c:pt>
                  <c:pt idx="2">
                    <c:v>0.44</c:v>
                  </c:pt>
                  <c:pt idx="3">
                    <c:v>0.6</c:v>
                  </c:pt>
                  <c:pt idx="4">
                    <c:v>0.56999999999999995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'Quisqualis indica'!$B$22:$B$26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'Quisqualis indica'!$E$22:$E$26</c:f>
              <c:numCache>
                <c:formatCode>General</c:formatCode>
                <c:ptCount val="5"/>
                <c:pt idx="0">
                  <c:v>4.83</c:v>
                </c:pt>
                <c:pt idx="1">
                  <c:v>4.41</c:v>
                </c:pt>
                <c:pt idx="2">
                  <c:v>5.2</c:v>
                </c:pt>
                <c:pt idx="3">
                  <c:v>4.78</c:v>
                </c:pt>
                <c:pt idx="4">
                  <c:v>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2-4E32-8C18-17437B69A8D5}"/>
            </c:ext>
          </c:extLst>
        </c:ser>
        <c:ser>
          <c:idx val="2"/>
          <c:order val="2"/>
          <c:tx>
            <c:strRef>
              <c:f>'Quisqualis indica'!$G$20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'Quisqualis indica'!$H$22:$H$26</c:f>
                <c:numCache>
                  <c:formatCode>General</c:formatCode>
                  <c:ptCount val="5"/>
                  <c:pt idx="0">
                    <c:v>1.42</c:v>
                  </c:pt>
                  <c:pt idx="1">
                    <c:v>0.94</c:v>
                  </c:pt>
                  <c:pt idx="2">
                    <c:v>0.54</c:v>
                  </c:pt>
                  <c:pt idx="3">
                    <c:v>1.05</c:v>
                  </c:pt>
                  <c:pt idx="4">
                    <c:v>0.48</c:v>
                  </c:pt>
                </c:numCache>
              </c:numRef>
            </c:plus>
            <c:minus>
              <c:numRef>
                <c:f>'Quisqualis indica'!$H$22:$H$26</c:f>
                <c:numCache>
                  <c:formatCode>General</c:formatCode>
                  <c:ptCount val="5"/>
                  <c:pt idx="0">
                    <c:v>1.42</c:v>
                  </c:pt>
                  <c:pt idx="1">
                    <c:v>0.94</c:v>
                  </c:pt>
                  <c:pt idx="2">
                    <c:v>0.54</c:v>
                  </c:pt>
                  <c:pt idx="3">
                    <c:v>1.05</c:v>
                  </c:pt>
                  <c:pt idx="4">
                    <c:v>0.48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'Quisqualis indica'!$B$22:$B$26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'Quisqualis indica'!$G$22:$G$26</c:f>
              <c:numCache>
                <c:formatCode>General</c:formatCode>
                <c:ptCount val="5"/>
                <c:pt idx="0">
                  <c:v>6.42</c:v>
                </c:pt>
                <c:pt idx="1">
                  <c:v>4.42</c:v>
                </c:pt>
                <c:pt idx="2">
                  <c:v>7.26</c:v>
                </c:pt>
                <c:pt idx="3">
                  <c:v>6.93</c:v>
                </c:pt>
                <c:pt idx="4">
                  <c:v>5.6100000000000012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12-4E32-8C18-17437B69A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27712"/>
        <c:axId val="15314118"/>
      </c:barChart>
      <c:catAx>
        <c:axId val="218277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5314118"/>
        <c:crosses val="autoZero"/>
        <c:auto val="1"/>
        <c:lblAlgn val="ctr"/>
        <c:lblOffset val="100"/>
        <c:noMultiLvlLbl val="0"/>
      </c:catAx>
      <c:valAx>
        <c:axId val="153141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Root 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18277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Acrostichum aureum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'Acrostichum shoot '!$C$21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'Acrostichum shoot '!$D$23:$D$27</c:f>
                <c:numCache>
                  <c:formatCode>General</c:formatCode>
                  <c:ptCount val="5"/>
                  <c:pt idx="0">
                    <c:v>0.51</c:v>
                  </c:pt>
                  <c:pt idx="1">
                    <c:v>0.86</c:v>
                  </c:pt>
                  <c:pt idx="2">
                    <c:v>1.32</c:v>
                  </c:pt>
                  <c:pt idx="3">
                    <c:v>3.34</c:v>
                  </c:pt>
                  <c:pt idx="4">
                    <c:v>2.4900000000000002</c:v>
                  </c:pt>
                </c:numCache>
              </c:numRef>
            </c:plus>
            <c:minus>
              <c:numRef>
                <c:f>'Acrostichum shoot '!$D$23:$D$27</c:f>
                <c:numCache>
                  <c:formatCode>General</c:formatCode>
                  <c:ptCount val="5"/>
                  <c:pt idx="0">
                    <c:v>0.51</c:v>
                  </c:pt>
                  <c:pt idx="1">
                    <c:v>0.86</c:v>
                  </c:pt>
                  <c:pt idx="2">
                    <c:v>1.32</c:v>
                  </c:pt>
                  <c:pt idx="3">
                    <c:v>3.34</c:v>
                  </c:pt>
                  <c:pt idx="4">
                    <c:v>2.4900000000000002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'Acrostichum shoot '!$B$23:$B$27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'Acrostichum shoot '!$C$23:$C$27</c:f>
              <c:numCache>
                <c:formatCode>General</c:formatCode>
                <c:ptCount val="5"/>
                <c:pt idx="0">
                  <c:v>10.44</c:v>
                </c:pt>
                <c:pt idx="1">
                  <c:v>10.119999999999999</c:v>
                </c:pt>
                <c:pt idx="2">
                  <c:v>8.26</c:v>
                </c:pt>
                <c:pt idx="3">
                  <c:v>4.97</c:v>
                </c:pt>
                <c:pt idx="4">
                  <c:v>7.6124999999999989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9-4FE7-B73E-425CC0DFA781}"/>
            </c:ext>
          </c:extLst>
        </c:ser>
        <c:ser>
          <c:idx val="1"/>
          <c:order val="1"/>
          <c:tx>
            <c:strRef>
              <c:f>'Acrostichum shoot '!$E$21</c:f>
              <c:strCache>
                <c:ptCount val="1"/>
                <c:pt idx="0">
                  <c:v>Day 5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'Acrostichum shoot '!$F$23:$F$27</c:f>
                <c:numCache>
                  <c:formatCode>General</c:formatCode>
                  <c:ptCount val="5"/>
                  <c:pt idx="0">
                    <c:v>1.4</c:v>
                  </c:pt>
                  <c:pt idx="1">
                    <c:v>0.91</c:v>
                  </c:pt>
                  <c:pt idx="2">
                    <c:v>1.18</c:v>
                  </c:pt>
                  <c:pt idx="3">
                    <c:v>2.91</c:v>
                  </c:pt>
                  <c:pt idx="4">
                    <c:v>5.14</c:v>
                  </c:pt>
                </c:numCache>
              </c:numRef>
            </c:plus>
            <c:minus>
              <c:numRef>
                <c:f>'Acrostichum shoot '!$F$23:$F$27</c:f>
                <c:numCache>
                  <c:formatCode>General</c:formatCode>
                  <c:ptCount val="5"/>
                  <c:pt idx="0">
                    <c:v>1.4</c:v>
                  </c:pt>
                  <c:pt idx="1">
                    <c:v>0.91</c:v>
                  </c:pt>
                  <c:pt idx="2">
                    <c:v>1.18</c:v>
                  </c:pt>
                  <c:pt idx="3">
                    <c:v>2.91</c:v>
                  </c:pt>
                  <c:pt idx="4">
                    <c:v>5.14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'Acrostichum shoot '!$B$23:$B$27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'Acrostichum shoot '!$E$23:$E$27</c:f>
              <c:numCache>
                <c:formatCode>General</c:formatCode>
                <c:ptCount val="5"/>
                <c:pt idx="0">
                  <c:v>17.5</c:v>
                </c:pt>
                <c:pt idx="1">
                  <c:v>16.3</c:v>
                </c:pt>
                <c:pt idx="2">
                  <c:v>10.199999999999999</c:v>
                </c:pt>
                <c:pt idx="3">
                  <c:v>7.1000000000000005</c:v>
                </c:pt>
                <c:pt idx="4">
                  <c:v>11.799999999999999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9-4FE7-B73E-425CC0DFA781}"/>
            </c:ext>
          </c:extLst>
        </c:ser>
        <c:ser>
          <c:idx val="2"/>
          <c:order val="2"/>
          <c:tx>
            <c:strRef>
              <c:f>'Acrostichum shoot '!$G$21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'Acrostichum shoot '!$H$23:$H$27</c:f>
                <c:numCache>
                  <c:formatCode>General</c:formatCode>
                  <c:ptCount val="5"/>
                  <c:pt idx="0">
                    <c:v>2.17</c:v>
                  </c:pt>
                  <c:pt idx="1">
                    <c:v>2.78</c:v>
                  </c:pt>
                  <c:pt idx="2">
                    <c:v>1.64</c:v>
                  </c:pt>
                  <c:pt idx="3">
                    <c:v>1.86</c:v>
                  </c:pt>
                  <c:pt idx="4">
                    <c:v>3.78</c:v>
                  </c:pt>
                </c:numCache>
              </c:numRef>
            </c:plus>
            <c:minus>
              <c:numRef>
                <c:f>'Acrostichum shoot '!$H$23:$H$27</c:f>
                <c:numCache>
                  <c:formatCode>General</c:formatCode>
                  <c:ptCount val="5"/>
                  <c:pt idx="0">
                    <c:v>2.17</c:v>
                  </c:pt>
                  <c:pt idx="1">
                    <c:v>2.78</c:v>
                  </c:pt>
                  <c:pt idx="2">
                    <c:v>1.64</c:v>
                  </c:pt>
                  <c:pt idx="3">
                    <c:v>1.86</c:v>
                  </c:pt>
                  <c:pt idx="4">
                    <c:v>3.78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'Acrostichum shoot '!$B$23:$B$27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'Acrostichum shoot '!$G$23:$G$27</c:f>
              <c:numCache>
                <c:formatCode>General</c:formatCode>
                <c:ptCount val="5"/>
                <c:pt idx="0">
                  <c:v>20.3</c:v>
                </c:pt>
                <c:pt idx="1">
                  <c:v>19.839999999999996</c:v>
                </c:pt>
                <c:pt idx="2">
                  <c:v>14.9</c:v>
                </c:pt>
                <c:pt idx="3">
                  <c:v>12.4</c:v>
                </c:pt>
                <c:pt idx="4">
                  <c:v>15.87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09-4FE7-B73E-425CC0DFA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339126"/>
        <c:axId val="13756930"/>
      </c:barChart>
      <c:catAx>
        <c:axId val="783391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3756930"/>
        <c:crosses val="autoZero"/>
        <c:auto val="1"/>
        <c:lblAlgn val="ctr"/>
        <c:lblOffset val="100"/>
        <c:noMultiLvlLbl val="0"/>
      </c:catAx>
      <c:valAx>
        <c:axId val="1375693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Shoot 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83391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Quisqualis indica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'Quisqualis indica Shoot'!$C$21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'Quisqualis indica Shoot'!$D$23:$D$27</c:f>
                <c:numCache>
                  <c:formatCode>General</c:formatCode>
                  <c:ptCount val="5"/>
                  <c:pt idx="0">
                    <c:v>1.04</c:v>
                  </c:pt>
                  <c:pt idx="1">
                    <c:v>0.95</c:v>
                  </c:pt>
                  <c:pt idx="2">
                    <c:v>1.22</c:v>
                  </c:pt>
                  <c:pt idx="3">
                    <c:v>0.67</c:v>
                  </c:pt>
                  <c:pt idx="4">
                    <c:v>2.4900000000000002</c:v>
                  </c:pt>
                </c:numCache>
              </c:numRef>
            </c:plus>
            <c:minus>
              <c:numRef>
                <c:f>'Quisqualis indica Shoot'!$D$23:$D$27</c:f>
                <c:numCache>
                  <c:formatCode>General</c:formatCode>
                  <c:ptCount val="5"/>
                  <c:pt idx="0">
                    <c:v>1.04</c:v>
                  </c:pt>
                  <c:pt idx="1">
                    <c:v>0.95</c:v>
                  </c:pt>
                  <c:pt idx="2">
                    <c:v>1.22</c:v>
                  </c:pt>
                  <c:pt idx="3">
                    <c:v>0.67</c:v>
                  </c:pt>
                  <c:pt idx="4">
                    <c:v>2.4900000000000002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'Quisqualis indica Shoot'!$B$23:$B$27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'Quisqualis indica Shoot'!$C$23:$C$27</c:f>
              <c:numCache>
                <c:formatCode>General</c:formatCode>
                <c:ptCount val="5"/>
                <c:pt idx="0">
                  <c:v>10.5</c:v>
                </c:pt>
                <c:pt idx="1">
                  <c:v>10.62</c:v>
                </c:pt>
                <c:pt idx="2">
                  <c:v>6.48</c:v>
                </c:pt>
                <c:pt idx="3">
                  <c:v>3</c:v>
                </c:pt>
                <c:pt idx="4">
                  <c:v>7.6124999999999989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A-4C71-8B41-1B3D2C0FDABF}"/>
            </c:ext>
          </c:extLst>
        </c:ser>
        <c:ser>
          <c:idx val="1"/>
          <c:order val="1"/>
          <c:tx>
            <c:strRef>
              <c:f>'Quisqualis indica Shoot'!$E$21</c:f>
              <c:strCache>
                <c:ptCount val="1"/>
                <c:pt idx="0">
                  <c:v>Day 5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'Quisqualis indica Shoot'!$F$23:$F$27</c:f>
                <c:numCache>
                  <c:formatCode>General</c:formatCode>
                  <c:ptCount val="5"/>
                  <c:pt idx="0">
                    <c:v>0.81</c:v>
                  </c:pt>
                  <c:pt idx="1">
                    <c:v>0.87</c:v>
                  </c:pt>
                  <c:pt idx="2">
                    <c:v>1.72</c:v>
                  </c:pt>
                  <c:pt idx="3">
                    <c:v>0.83</c:v>
                  </c:pt>
                  <c:pt idx="4">
                    <c:v>5.14</c:v>
                  </c:pt>
                </c:numCache>
              </c:numRef>
            </c:plus>
            <c:minus>
              <c:numRef>
                <c:f>'Quisqualis indica Shoot'!$F$23:$F$27</c:f>
                <c:numCache>
                  <c:formatCode>General</c:formatCode>
                  <c:ptCount val="5"/>
                  <c:pt idx="0">
                    <c:v>0.81</c:v>
                  </c:pt>
                  <c:pt idx="1">
                    <c:v>0.87</c:v>
                  </c:pt>
                  <c:pt idx="2">
                    <c:v>1.72</c:v>
                  </c:pt>
                  <c:pt idx="3">
                    <c:v>0.83</c:v>
                  </c:pt>
                  <c:pt idx="4">
                    <c:v>5.14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'Quisqualis indica Shoot'!$B$23:$B$27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'Quisqualis indica Shoot'!$E$23:$E$27</c:f>
              <c:numCache>
                <c:formatCode>General</c:formatCode>
                <c:ptCount val="5"/>
                <c:pt idx="0">
                  <c:v>16.759999999999998</c:v>
                </c:pt>
                <c:pt idx="1">
                  <c:v>17.02</c:v>
                </c:pt>
                <c:pt idx="2">
                  <c:v>9.14</c:v>
                </c:pt>
                <c:pt idx="3">
                  <c:v>6.14</c:v>
                </c:pt>
                <c:pt idx="4">
                  <c:v>11.799999999999999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6A-4C71-8B41-1B3D2C0FDABF}"/>
            </c:ext>
          </c:extLst>
        </c:ser>
        <c:ser>
          <c:idx val="2"/>
          <c:order val="2"/>
          <c:tx>
            <c:strRef>
              <c:f>'Quisqualis indica Shoot'!$G$21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'Quisqualis indica Shoot'!$H$23:$H$27</c:f>
                <c:numCache>
                  <c:formatCode>General</c:formatCode>
                  <c:ptCount val="5"/>
                  <c:pt idx="0">
                    <c:v>0.82</c:v>
                  </c:pt>
                  <c:pt idx="1">
                    <c:v>0.56999999999999995</c:v>
                  </c:pt>
                  <c:pt idx="2">
                    <c:v>1.69</c:v>
                  </c:pt>
                  <c:pt idx="3">
                    <c:v>3.67</c:v>
                  </c:pt>
                  <c:pt idx="4">
                    <c:v>3.78</c:v>
                  </c:pt>
                </c:numCache>
              </c:numRef>
            </c:plus>
            <c:minus>
              <c:numRef>
                <c:f>'Quisqualis indica Shoot'!$H$23:$H$27</c:f>
                <c:numCache>
                  <c:formatCode>General</c:formatCode>
                  <c:ptCount val="5"/>
                  <c:pt idx="0">
                    <c:v>0.82</c:v>
                  </c:pt>
                  <c:pt idx="1">
                    <c:v>0.56999999999999995</c:v>
                  </c:pt>
                  <c:pt idx="2">
                    <c:v>1.69</c:v>
                  </c:pt>
                  <c:pt idx="3">
                    <c:v>3.67</c:v>
                  </c:pt>
                  <c:pt idx="4">
                    <c:v>3.78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'Quisqualis indica Shoot'!$B$23:$B$27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'Quisqualis indica Shoot'!$G$23:$G$27</c:f>
              <c:numCache>
                <c:formatCode>General</c:formatCode>
                <c:ptCount val="5"/>
                <c:pt idx="0">
                  <c:v>19.899999999999999</c:v>
                </c:pt>
                <c:pt idx="1">
                  <c:v>20.8</c:v>
                </c:pt>
                <c:pt idx="2">
                  <c:v>14.280000000000001</c:v>
                </c:pt>
                <c:pt idx="3">
                  <c:v>11.440000000000001</c:v>
                </c:pt>
                <c:pt idx="4">
                  <c:v>15.87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6A-4C71-8B41-1B3D2C0FD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894226"/>
        <c:axId val="43671755"/>
      </c:barChart>
      <c:catAx>
        <c:axId val="238942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671755"/>
        <c:crosses val="autoZero"/>
        <c:auto val="1"/>
        <c:lblAlgn val="ctr"/>
        <c:lblOffset val="100"/>
        <c:noMultiLvlLbl val="0"/>
      </c:catAx>
      <c:valAx>
        <c:axId val="436717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Shoot 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38942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Ludwigia peruviana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'Ludwigia peruviana Shoot'!$C$21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'Ludwigia peruviana Shoot'!$D$23:$D$27</c:f>
                <c:numCache>
                  <c:formatCode>General</c:formatCode>
                  <c:ptCount val="5"/>
                  <c:pt idx="0">
                    <c:v>1.26</c:v>
                  </c:pt>
                  <c:pt idx="1">
                    <c:v>1.0900000000000001</c:v>
                  </c:pt>
                  <c:pt idx="2">
                    <c:v>1.67</c:v>
                  </c:pt>
                  <c:pt idx="3">
                    <c:v>0.56000000000000005</c:v>
                  </c:pt>
                  <c:pt idx="4">
                    <c:v>2.4900000000000002</c:v>
                  </c:pt>
                </c:numCache>
              </c:numRef>
            </c:plus>
            <c:minus>
              <c:numRef>
                <c:f>'Ludwigia peruviana Shoot'!$D$23:$D$27</c:f>
                <c:numCache>
                  <c:formatCode>General</c:formatCode>
                  <c:ptCount val="5"/>
                  <c:pt idx="0">
                    <c:v>1.26</c:v>
                  </c:pt>
                  <c:pt idx="1">
                    <c:v>1.0900000000000001</c:v>
                  </c:pt>
                  <c:pt idx="2">
                    <c:v>1.67</c:v>
                  </c:pt>
                  <c:pt idx="3">
                    <c:v>0.56000000000000005</c:v>
                  </c:pt>
                  <c:pt idx="4">
                    <c:v>2.4900000000000002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'Ludwigia peruviana Shoot'!$B$23:$B$27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'Ludwigia peruviana Shoot'!$C$23:$C$27</c:f>
              <c:numCache>
                <c:formatCode>General</c:formatCode>
                <c:ptCount val="5"/>
                <c:pt idx="0">
                  <c:v>10.32</c:v>
                </c:pt>
                <c:pt idx="1">
                  <c:v>9.64</c:v>
                </c:pt>
                <c:pt idx="2">
                  <c:v>6.58</c:v>
                </c:pt>
                <c:pt idx="3">
                  <c:v>1.9</c:v>
                </c:pt>
                <c:pt idx="4">
                  <c:v>7.6124999999999989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8-440F-8AB1-08F5F1735F9A}"/>
            </c:ext>
          </c:extLst>
        </c:ser>
        <c:ser>
          <c:idx val="1"/>
          <c:order val="1"/>
          <c:tx>
            <c:strRef>
              <c:f>'Ludwigia peruviana Shoot'!$E$21</c:f>
              <c:strCache>
                <c:ptCount val="1"/>
                <c:pt idx="0">
                  <c:v>Day 5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'Ludwigia peruviana Shoot'!$F$23:$F$27</c:f>
                <c:numCache>
                  <c:formatCode>General</c:formatCode>
                  <c:ptCount val="5"/>
                  <c:pt idx="0">
                    <c:v>0.96</c:v>
                  </c:pt>
                  <c:pt idx="1">
                    <c:v>0.48</c:v>
                  </c:pt>
                  <c:pt idx="2">
                    <c:v>1.52</c:v>
                  </c:pt>
                  <c:pt idx="3">
                    <c:v>2.13</c:v>
                  </c:pt>
                  <c:pt idx="4">
                    <c:v>5.14</c:v>
                  </c:pt>
                </c:numCache>
              </c:numRef>
            </c:plus>
            <c:minus>
              <c:numRef>
                <c:f>'Ludwigia peruviana Shoot'!$F$23:$F$27</c:f>
                <c:numCache>
                  <c:formatCode>General</c:formatCode>
                  <c:ptCount val="5"/>
                  <c:pt idx="0">
                    <c:v>0.96</c:v>
                  </c:pt>
                  <c:pt idx="1">
                    <c:v>0.48</c:v>
                  </c:pt>
                  <c:pt idx="2">
                    <c:v>1.52</c:v>
                  </c:pt>
                  <c:pt idx="3">
                    <c:v>2.13</c:v>
                  </c:pt>
                  <c:pt idx="4">
                    <c:v>5.14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'Ludwigia peruviana Shoot'!$B$23:$B$27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'Ludwigia peruviana Shoot'!$E$23:$E$27</c:f>
              <c:numCache>
                <c:formatCode>General</c:formatCode>
                <c:ptCount val="5"/>
                <c:pt idx="0">
                  <c:v>17.600000000000001</c:v>
                </c:pt>
                <c:pt idx="1">
                  <c:v>17.240000000000002</c:v>
                </c:pt>
                <c:pt idx="2">
                  <c:v>8.7799999999999994</c:v>
                </c:pt>
                <c:pt idx="3">
                  <c:v>3.1</c:v>
                </c:pt>
                <c:pt idx="4">
                  <c:v>11.799999999999999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C8-440F-8AB1-08F5F1735F9A}"/>
            </c:ext>
          </c:extLst>
        </c:ser>
        <c:ser>
          <c:idx val="2"/>
          <c:order val="2"/>
          <c:tx>
            <c:strRef>
              <c:f>'Ludwigia peruviana Shoot'!$G$21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'Ludwigia peruviana Shoot'!$H$23:$H$27</c:f>
                <c:numCache>
                  <c:formatCode>General</c:formatCode>
                  <c:ptCount val="5"/>
                  <c:pt idx="0">
                    <c:v>0.51</c:v>
                  </c:pt>
                  <c:pt idx="1">
                    <c:v>1.9</c:v>
                  </c:pt>
                  <c:pt idx="2">
                    <c:v>1.92</c:v>
                  </c:pt>
                  <c:pt idx="3">
                    <c:v>2.83</c:v>
                  </c:pt>
                  <c:pt idx="4">
                    <c:v>3.78</c:v>
                  </c:pt>
                </c:numCache>
              </c:numRef>
            </c:plus>
            <c:minus>
              <c:numRef>
                <c:f>'Ludwigia peruviana Shoot'!$H$23:$H$27</c:f>
                <c:numCache>
                  <c:formatCode>General</c:formatCode>
                  <c:ptCount val="5"/>
                  <c:pt idx="0">
                    <c:v>0.51</c:v>
                  </c:pt>
                  <c:pt idx="1">
                    <c:v>1.9</c:v>
                  </c:pt>
                  <c:pt idx="2">
                    <c:v>1.92</c:v>
                  </c:pt>
                  <c:pt idx="3">
                    <c:v>2.83</c:v>
                  </c:pt>
                  <c:pt idx="4">
                    <c:v>3.78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'Ludwigia peruviana Shoot'!$B$23:$B$27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'Ludwigia peruviana Shoot'!$G$23:$G$27</c:f>
              <c:numCache>
                <c:formatCode>General</c:formatCode>
                <c:ptCount val="5"/>
                <c:pt idx="0">
                  <c:v>21.32</c:v>
                </c:pt>
                <c:pt idx="1">
                  <c:v>18.82</c:v>
                </c:pt>
                <c:pt idx="2">
                  <c:v>12.959999999999999</c:v>
                </c:pt>
                <c:pt idx="3">
                  <c:v>7.5400000000000009</c:v>
                </c:pt>
                <c:pt idx="4">
                  <c:v>15.87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C8-440F-8AB1-08F5F1735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20985"/>
        <c:axId val="83215687"/>
      </c:barChart>
      <c:catAx>
        <c:axId val="824209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3215687"/>
        <c:crosses val="autoZero"/>
        <c:auto val="1"/>
        <c:lblAlgn val="ctr"/>
        <c:lblOffset val="100"/>
        <c:noMultiLvlLbl val="0"/>
      </c:catAx>
      <c:valAx>
        <c:axId val="832156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Shoot 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24209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Cyclosorus interruptus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'Cyclosorus interruptus Shoot'!$C$21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'Cyclosorus interruptus Shoot'!$D$23:$D$27</c:f>
                <c:numCache>
                  <c:formatCode>General</c:formatCode>
                  <c:ptCount val="5"/>
                  <c:pt idx="0">
                    <c:v>0.95</c:v>
                  </c:pt>
                  <c:pt idx="1">
                    <c:v>0.75</c:v>
                  </c:pt>
                  <c:pt idx="2">
                    <c:v>4.5599999999999996</c:v>
                  </c:pt>
                  <c:pt idx="3">
                    <c:v>2.79</c:v>
                  </c:pt>
                  <c:pt idx="4">
                    <c:v>2.4900000000000002</c:v>
                  </c:pt>
                </c:numCache>
              </c:numRef>
            </c:plus>
            <c:minus>
              <c:numRef>
                <c:f>'Cyclosorus interruptus Shoot'!$D$23:$D$27</c:f>
                <c:numCache>
                  <c:formatCode>General</c:formatCode>
                  <c:ptCount val="5"/>
                  <c:pt idx="0">
                    <c:v>0.95</c:v>
                  </c:pt>
                  <c:pt idx="1">
                    <c:v>0.75</c:v>
                  </c:pt>
                  <c:pt idx="2">
                    <c:v>4.5599999999999996</c:v>
                  </c:pt>
                  <c:pt idx="3">
                    <c:v>2.79</c:v>
                  </c:pt>
                  <c:pt idx="4">
                    <c:v>2.4900000000000002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'Cyclosorus interruptus Shoot'!$B$23:$B$27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'Cyclosorus interruptus Shoot'!$C$23:$C$27</c:f>
              <c:numCache>
                <c:formatCode>General</c:formatCode>
                <c:ptCount val="5"/>
                <c:pt idx="0">
                  <c:v>9.8800000000000008</c:v>
                </c:pt>
                <c:pt idx="1">
                  <c:v>9.42</c:v>
                </c:pt>
                <c:pt idx="2">
                  <c:v>3.93</c:v>
                </c:pt>
                <c:pt idx="3">
                  <c:v>3.6</c:v>
                </c:pt>
                <c:pt idx="4">
                  <c:v>7.6124999999999989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8-4D76-B8F5-E04C6DBE1C69}"/>
            </c:ext>
          </c:extLst>
        </c:ser>
        <c:ser>
          <c:idx val="1"/>
          <c:order val="1"/>
          <c:tx>
            <c:strRef>
              <c:f>'Cyclosorus interruptus Shoot'!$E$21</c:f>
              <c:strCache>
                <c:ptCount val="1"/>
                <c:pt idx="0">
                  <c:v>Day 5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'Cyclosorus interruptus Shoot'!$F$23:$F$27</c:f>
                <c:numCache>
                  <c:formatCode>General</c:formatCode>
                  <c:ptCount val="5"/>
                  <c:pt idx="0">
                    <c:v>1.52</c:v>
                  </c:pt>
                  <c:pt idx="1">
                    <c:v>1.08</c:v>
                  </c:pt>
                  <c:pt idx="2">
                    <c:v>3.63</c:v>
                  </c:pt>
                  <c:pt idx="3">
                    <c:v>3.03</c:v>
                  </c:pt>
                  <c:pt idx="4">
                    <c:v>5.14</c:v>
                  </c:pt>
                </c:numCache>
              </c:numRef>
            </c:plus>
            <c:minus>
              <c:numRef>
                <c:f>'Cyclosorus interruptus Shoot'!$F$23:$F$27</c:f>
                <c:numCache>
                  <c:formatCode>General</c:formatCode>
                  <c:ptCount val="5"/>
                  <c:pt idx="0">
                    <c:v>1.52</c:v>
                  </c:pt>
                  <c:pt idx="1">
                    <c:v>1.08</c:v>
                  </c:pt>
                  <c:pt idx="2">
                    <c:v>3.63</c:v>
                  </c:pt>
                  <c:pt idx="3">
                    <c:v>3.03</c:v>
                  </c:pt>
                  <c:pt idx="4">
                    <c:v>5.14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'Cyclosorus interruptus Shoot'!$B$23:$B$27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'Cyclosorus interruptus Shoot'!$E$23:$E$27</c:f>
              <c:numCache>
                <c:formatCode>General</c:formatCode>
                <c:ptCount val="5"/>
                <c:pt idx="0">
                  <c:v>17.100000000000001</c:v>
                </c:pt>
                <c:pt idx="1">
                  <c:v>15.6</c:v>
                </c:pt>
                <c:pt idx="2">
                  <c:v>4.1599999999999993</c:v>
                </c:pt>
                <c:pt idx="3">
                  <c:v>4.6499999999999995</c:v>
                </c:pt>
                <c:pt idx="4">
                  <c:v>11.799999999999999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38-4D76-B8F5-E04C6DBE1C69}"/>
            </c:ext>
          </c:extLst>
        </c:ser>
        <c:ser>
          <c:idx val="2"/>
          <c:order val="2"/>
          <c:tx>
            <c:strRef>
              <c:f>'Cyclosorus interruptus Shoot'!$G$21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'Cyclosorus interruptus Shoot'!$H$23:$H$27</c:f>
                <c:numCache>
                  <c:formatCode>General</c:formatCode>
                  <c:ptCount val="5"/>
                  <c:pt idx="0">
                    <c:v>1.1499999999999999</c:v>
                  </c:pt>
                  <c:pt idx="1">
                    <c:v>0.45</c:v>
                  </c:pt>
                  <c:pt idx="2">
                    <c:v>2.36</c:v>
                  </c:pt>
                  <c:pt idx="3">
                    <c:v>4.1399999999999997</c:v>
                  </c:pt>
                  <c:pt idx="4">
                    <c:v>3.78</c:v>
                  </c:pt>
                </c:numCache>
              </c:numRef>
            </c:plus>
            <c:minus>
              <c:numRef>
                <c:f>'Cyclosorus interruptus Shoot'!$H$23:$H$27</c:f>
                <c:numCache>
                  <c:formatCode>General</c:formatCode>
                  <c:ptCount val="5"/>
                  <c:pt idx="0">
                    <c:v>1.1499999999999999</c:v>
                  </c:pt>
                  <c:pt idx="1">
                    <c:v>0.45</c:v>
                  </c:pt>
                  <c:pt idx="2">
                    <c:v>2.36</c:v>
                  </c:pt>
                  <c:pt idx="3">
                    <c:v>4.1399999999999997</c:v>
                  </c:pt>
                  <c:pt idx="4">
                    <c:v>3.78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'Cyclosorus interruptus Shoot'!$B$23:$B$27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'Cyclosorus interruptus Shoot'!$G$23:$G$27</c:f>
              <c:numCache>
                <c:formatCode>General</c:formatCode>
                <c:ptCount val="5"/>
                <c:pt idx="0">
                  <c:v>18.8</c:v>
                </c:pt>
                <c:pt idx="1">
                  <c:v>19.2</c:v>
                </c:pt>
                <c:pt idx="2">
                  <c:v>9.2600000000000016</c:v>
                </c:pt>
                <c:pt idx="3">
                  <c:v>7.7600000000000007</c:v>
                </c:pt>
                <c:pt idx="4">
                  <c:v>15.87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38-4D76-B8F5-E04C6DBE1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60082"/>
        <c:axId val="76420825"/>
      </c:barChart>
      <c:catAx>
        <c:axId val="506600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6420825"/>
        <c:crosses val="autoZero"/>
        <c:auto val="1"/>
        <c:lblAlgn val="ctr"/>
        <c:lblOffset val="100"/>
        <c:noMultiLvlLbl val="0"/>
      </c:catAx>
      <c:valAx>
        <c:axId val="764208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Shoot 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Acrostichum aureum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'Acrostichum root (Pea)'!$C$9:$D$9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'Acrostichum root (Pea)'!$D$11:$D$15</c:f>
                <c:numCache>
                  <c:formatCode>General</c:formatCode>
                  <c:ptCount val="5"/>
                  <c:pt idx="0">
                    <c:v>1.29</c:v>
                  </c:pt>
                  <c:pt idx="1">
                    <c:v>1.88</c:v>
                  </c:pt>
                  <c:pt idx="2">
                    <c:v>1.33</c:v>
                  </c:pt>
                  <c:pt idx="3">
                    <c:v>3.22</c:v>
                  </c:pt>
                  <c:pt idx="4">
                    <c:v>2.75</c:v>
                  </c:pt>
                </c:numCache>
              </c:numRef>
            </c:plus>
            <c:minus>
              <c:numRef>
                <c:f>'Acrostichum root (Pea)'!$D$11:$D$15</c:f>
                <c:numCache>
                  <c:formatCode>General</c:formatCode>
                  <c:ptCount val="5"/>
                  <c:pt idx="0">
                    <c:v>1.29</c:v>
                  </c:pt>
                  <c:pt idx="1">
                    <c:v>1.88</c:v>
                  </c:pt>
                  <c:pt idx="2">
                    <c:v>1.33</c:v>
                  </c:pt>
                  <c:pt idx="3">
                    <c:v>3.22</c:v>
                  </c:pt>
                  <c:pt idx="4">
                    <c:v>2.75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'Acrostichum root (Pea)'!$B$11:$B$15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'Acrostichum root (Pea)'!$C$11:$C$15</c:f>
              <c:numCache>
                <c:formatCode>General</c:formatCode>
                <c:ptCount val="5"/>
                <c:pt idx="0">
                  <c:v>14</c:v>
                </c:pt>
                <c:pt idx="1">
                  <c:v>15.639999999999997</c:v>
                </c:pt>
                <c:pt idx="2">
                  <c:v>19.080000000000002</c:v>
                </c:pt>
                <c:pt idx="3">
                  <c:v>13.76</c:v>
                </c:pt>
                <c:pt idx="4">
                  <c:v>12.48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2-4B03-94EE-C32CC9EFE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10557"/>
        <c:axId val="36944614"/>
      </c:barChart>
      <c:catAx>
        <c:axId val="532105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6944614"/>
        <c:crosses val="autoZero"/>
        <c:auto val="1"/>
        <c:lblAlgn val="ctr"/>
        <c:lblOffset val="100"/>
        <c:noMultiLvlLbl val="0"/>
      </c:catAx>
      <c:valAx>
        <c:axId val="369446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RootLength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32105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Quisqualis indica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'Quisqualis root (Pea)'!$C$9:$D$9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'Quisqualis root (Pea)'!$D$11:$D$15</c:f>
                <c:numCache>
                  <c:formatCode>General</c:formatCode>
                  <c:ptCount val="5"/>
                  <c:pt idx="0">
                    <c:v>1.78</c:v>
                  </c:pt>
                  <c:pt idx="1">
                    <c:v>1.97</c:v>
                  </c:pt>
                  <c:pt idx="2">
                    <c:v>3.33</c:v>
                  </c:pt>
                  <c:pt idx="3">
                    <c:v>1.1399999999999999</c:v>
                  </c:pt>
                  <c:pt idx="4">
                    <c:v>2.75</c:v>
                  </c:pt>
                </c:numCache>
              </c:numRef>
            </c:plus>
            <c:minus>
              <c:numRef>
                <c:f>'Quisqualis root (Pea)'!$D$11:$D$15</c:f>
                <c:numCache>
                  <c:formatCode>General</c:formatCode>
                  <c:ptCount val="5"/>
                  <c:pt idx="0">
                    <c:v>1.78</c:v>
                  </c:pt>
                  <c:pt idx="1">
                    <c:v>1.97</c:v>
                  </c:pt>
                  <c:pt idx="2">
                    <c:v>3.33</c:v>
                  </c:pt>
                  <c:pt idx="3">
                    <c:v>1.1399999999999999</c:v>
                  </c:pt>
                  <c:pt idx="4">
                    <c:v>2.75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'Quisqualis root (Pea)'!$B$11:$B$15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'Quisqualis root (Pea)'!$C$11:$C$15</c:f>
              <c:numCache>
                <c:formatCode>General</c:formatCode>
                <c:ptCount val="5"/>
                <c:pt idx="0">
                  <c:v>14.1</c:v>
                </c:pt>
                <c:pt idx="1">
                  <c:v>14</c:v>
                </c:pt>
                <c:pt idx="2">
                  <c:v>14.680000000000001</c:v>
                </c:pt>
                <c:pt idx="3">
                  <c:v>7.76</c:v>
                </c:pt>
                <c:pt idx="4">
                  <c:v>12.48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0-41FE-B424-1C2BA38BE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5292"/>
        <c:axId val="96498255"/>
      </c:barChart>
      <c:catAx>
        <c:axId val="54952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6498255"/>
        <c:crosses val="autoZero"/>
        <c:auto val="1"/>
        <c:lblAlgn val="ctr"/>
        <c:lblOffset val="100"/>
        <c:noMultiLvlLbl val="0"/>
      </c:catAx>
      <c:valAx>
        <c:axId val="964982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RootLength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4952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Ludwigia peruviana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'Ludwegia root (Pea) '!$C$9:$D$9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'Ludwegia root (Pea) '!$D$11:$D$15</c:f>
                <c:numCache>
                  <c:formatCode>General</c:formatCode>
                  <c:ptCount val="5"/>
                  <c:pt idx="0">
                    <c:v>1.39</c:v>
                  </c:pt>
                  <c:pt idx="1">
                    <c:v>1.75</c:v>
                  </c:pt>
                  <c:pt idx="2">
                    <c:v>5.57</c:v>
                  </c:pt>
                  <c:pt idx="3">
                    <c:v>1.57</c:v>
                  </c:pt>
                  <c:pt idx="4">
                    <c:v>2.75</c:v>
                  </c:pt>
                </c:numCache>
              </c:numRef>
            </c:plus>
            <c:minus>
              <c:numRef>
                <c:f>'Ludwegia root (Pea) '!$D$11:$D$15</c:f>
                <c:numCache>
                  <c:formatCode>General</c:formatCode>
                  <c:ptCount val="5"/>
                  <c:pt idx="0">
                    <c:v>1.39</c:v>
                  </c:pt>
                  <c:pt idx="1">
                    <c:v>1.75</c:v>
                  </c:pt>
                  <c:pt idx="2">
                    <c:v>5.57</c:v>
                  </c:pt>
                  <c:pt idx="3">
                    <c:v>1.57</c:v>
                  </c:pt>
                  <c:pt idx="4">
                    <c:v>2.75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'Ludwegia root (Pea) '!$B$11:$B$15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'Ludwegia root (Pea) '!$C$11:$C$15</c:f>
              <c:numCache>
                <c:formatCode>General</c:formatCode>
                <c:ptCount val="5"/>
                <c:pt idx="0">
                  <c:v>15.24</c:v>
                </c:pt>
                <c:pt idx="1">
                  <c:v>15.080000000000002</c:v>
                </c:pt>
                <c:pt idx="2">
                  <c:v>15.3</c:v>
                </c:pt>
                <c:pt idx="3">
                  <c:v>12.1</c:v>
                </c:pt>
                <c:pt idx="4">
                  <c:v>12.48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0-438D-85FE-BE1EAA43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004325"/>
        <c:axId val="56086116"/>
      </c:barChart>
      <c:catAx>
        <c:axId val="480043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6086116"/>
        <c:crosses val="autoZero"/>
        <c:auto val="1"/>
        <c:lblAlgn val="ctr"/>
        <c:lblOffset val="100"/>
        <c:noMultiLvlLbl val="0"/>
      </c:catAx>
      <c:valAx>
        <c:axId val="560861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RootLength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80043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Cyclosorus interruptus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'Cyclosorus root (Pea) '!$C$9:$D$9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'Cyclosorus root (Pea) '!$D$11:$D$15</c:f>
                <c:numCache>
                  <c:formatCode>General</c:formatCode>
                  <c:ptCount val="5"/>
                  <c:pt idx="0">
                    <c:v>0.82</c:v>
                  </c:pt>
                  <c:pt idx="1">
                    <c:v>0.91</c:v>
                  </c:pt>
                  <c:pt idx="2">
                    <c:v>3.89</c:v>
                  </c:pt>
                  <c:pt idx="3">
                    <c:v>4.59</c:v>
                  </c:pt>
                  <c:pt idx="4">
                    <c:v>2.75</c:v>
                  </c:pt>
                </c:numCache>
              </c:numRef>
            </c:plus>
            <c:minus>
              <c:numRef>
                <c:f>'Cyclosorus root (Pea) '!$D$11:$D$15</c:f>
                <c:numCache>
                  <c:formatCode>General</c:formatCode>
                  <c:ptCount val="5"/>
                  <c:pt idx="0">
                    <c:v>0.82</c:v>
                  </c:pt>
                  <c:pt idx="1">
                    <c:v>0.91</c:v>
                  </c:pt>
                  <c:pt idx="2">
                    <c:v>3.89</c:v>
                  </c:pt>
                  <c:pt idx="3">
                    <c:v>4.59</c:v>
                  </c:pt>
                  <c:pt idx="4">
                    <c:v>2.75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'Cyclosorus root (Pea) '!$B$11:$B$15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'Cyclosorus root (Pea) '!$C$11:$C$15</c:f>
              <c:numCache>
                <c:formatCode>General</c:formatCode>
                <c:ptCount val="5"/>
                <c:pt idx="0">
                  <c:v>13.9</c:v>
                </c:pt>
                <c:pt idx="1">
                  <c:v>13.2</c:v>
                </c:pt>
                <c:pt idx="2">
                  <c:v>14.720000000000002</c:v>
                </c:pt>
                <c:pt idx="3">
                  <c:v>11.679999999999998</c:v>
                </c:pt>
                <c:pt idx="4">
                  <c:v>12.48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8-4A26-AFDD-D9B58AD99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90338"/>
        <c:axId val="81409161"/>
      </c:barChart>
      <c:catAx>
        <c:axId val="66090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1409161"/>
        <c:crosses val="autoZero"/>
        <c:auto val="1"/>
        <c:lblAlgn val="ctr"/>
        <c:lblOffset val="100"/>
        <c:noMultiLvlLbl val="0"/>
      </c:catAx>
      <c:valAx>
        <c:axId val="814091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RootLength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60903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Cyclosorus interruptus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'Cyclosorus TL (Pea)  '!$C$9:$D$9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'Cyclosorus TL (Pea)  '!$D$11:$D$15</c:f>
                <c:numCache>
                  <c:formatCode>General</c:formatCode>
                  <c:ptCount val="5"/>
                  <c:pt idx="0">
                    <c:v>1.1499999999999999</c:v>
                  </c:pt>
                  <c:pt idx="1">
                    <c:v>0.82</c:v>
                  </c:pt>
                  <c:pt idx="2">
                    <c:v>6.32</c:v>
                  </c:pt>
                  <c:pt idx="3">
                    <c:v>6.73</c:v>
                  </c:pt>
                  <c:pt idx="4">
                    <c:v>5.98</c:v>
                  </c:pt>
                </c:numCache>
              </c:numRef>
            </c:plus>
            <c:minus>
              <c:numRef>
                <c:f>'Cyclosorus TL (Pea)  '!$D$11:$D$15</c:f>
                <c:numCache>
                  <c:formatCode>General</c:formatCode>
                  <c:ptCount val="5"/>
                  <c:pt idx="0">
                    <c:v>1.1499999999999999</c:v>
                  </c:pt>
                  <c:pt idx="1">
                    <c:v>0.82</c:v>
                  </c:pt>
                  <c:pt idx="2">
                    <c:v>6.32</c:v>
                  </c:pt>
                  <c:pt idx="3">
                    <c:v>6.73</c:v>
                  </c:pt>
                  <c:pt idx="4">
                    <c:v>5.98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'Cyclosorus TL (Pea)  '!$B$11:$B$15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'Cyclosorus TL (Pea)  '!$C$11:$C$15</c:f>
              <c:numCache>
                <c:formatCode>General</c:formatCode>
                <c:ptCount val="5"/>
                <c:pt idx="0">
                  <c:v>34.200000000000003</c:v>
                </c:pt>
                <c:pt idx="1">
                  <c:v>33.9</c:v>
                </c:pt>
                <c:pt idx="2">
                  <c:v>24.5</c:v>
                </c:pt>
                <c:pt idx="3">
                  <c:v>22.2</c:v>
                </c:pt>
                <c:pt idx="4">
                  <c:v>29.18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3-4F1A-B65A-9F946D0FB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84400"/>
        <c:axId val="82222495"/>
      </c:barChart>
      <c:catAx>
        <c:axId val="559844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2222495"/>
        <c:crosses val="autoZero"/>
        <c:auto val="1"/>
        <c:lblAlgn val="ctr"/>
        <c:lblOffset val="100"/>
        <c:noMultiLvlLbl val="0"/>
      </c:catAx>
      <c:valAx>
        <c:axId val="8222249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Total 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59844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Ludwigia peruviana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'Ludwegia TL(Pea) '!$C$9:$D$9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'Ludwegia TL(Pea) '!$D$11:$D$15</c:f>
                <c:numCache>
                  <c:formatCode>General</c:formatCode>
                  <c:ptCount val="5"/>
                  <c:pt idx="0">
                    <c:v>1</c:v>
                  </c:pt>
                  <c:pt idx="1">
                    <c:v>3.87</c:v>
                  </c:pt>
                  <c:pt idx="2">
                    <c:v>6.35</c:v>
                  </c:pt>
                  <c:pt idx="3">
                    <c:v>3.36</c:v>
                  </c:pt>
                  <c:pt idx="4">
                    <c:v>5.98</c:v>
                  </c:pt>
                </c:numCache>
              </c:numRef>
            </c:plus>
            <c:minus>
              <c:numRef>
                <c:f>'Ludwegia TL(Pea) '!$D$11:$D$15</c:f>
                <c:numCache>
                  <c:formatCode>General</c:formatCode>
                  <c:ptCount val="5"/>
                  <c:pt idx="0">
                    <c:v>1</c:v>
                  </c:pt>
                  <c:pt idx="1">
                    <c:v>3.87</c:v>
                  </c:pt>
                  <c:pt idx="2">
                    <c:v>6.35</c:v>
                  </c:pt>
                  <c:pt idx="3">
                    <c:v>3.36</c:v>
                  </c:pt>
                  <c:pt idx="4">
                    <c:v>5.98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'Ludwegia TL(Pea) '!$B$11:$B$15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'Ludwegia TL(Pea) '!$C$11:$C$15</c:f>
              <c:numCache>
                <c:formatCode>General</c:formatCode>
                <c:ptCount val="5"/>
                <c:pt idx="0">
                  <c:v>38</c:v>
                </c:pt>
                <c:pt idx="1">
                  <c:v>35.200000000000003</c:v>
                </c:pt>
                <c:pt idx="2">
                  <c:v>30.02</c:v>
                </c:pt>
                <c:pt idx="3">
                  <c:v>19.5</c:v>
                </c:pt>
                <c:pt idx="4">
                  <c:v>29.18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A-496F-A7BB-F85711BB5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64178"/>
        <c:axId val="77274281"/>
      </c:barChart>
      <c:catAx>
        <c:axId val="965641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7274281"/>
        <c:crosses val="autoZero"/>
        <c:auto val="1"/>
        <c:lblAlgn val="ctr"/>
        <c:lblOffset val="100"/>
        <c:noMultiLvlLbl val="0"/>
      </c:catAx>
      <c:valAx>
        <c:axId val="772742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Total 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65641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Acrostichum aureum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'Acrostichum TL (Pea) '!$C$9:$D$9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'Acrostichum TL (Pea) '!$D$11:$D$15</c:f>
                <c:numCache>
                  <c:formatCode>General</c:formatCode>
                  <c:ptCount val="5"/>
                  <c:pt idx="0">
                    <c:v>2.12</c:v>
                  </c:pt>
                  <c:pt idx="1">
                    <c:v>4.12</c:v>
                  </c:pt>
                  <c:pt idx="2">
                    <c:v>2.72</c:v>
                  </c:pt>
                  <c:pt idx="3">
                    <c:v>3.84</c:v>
                  </c:pt>
                  <c:pt idx="4">
                    <c:v>5.98</c:v>
                  </c:pt>
                </c:numCache>
              </c:numRef>
            </c:plus>
            <c:minus>
              <c:numRef>
                <c:f>'Acrostichum TL (Pea) '!$D$11:$D$15</c:f>
                <c:numCache>
                  <c:formatCode>General</c:formatCode>
                  <c:ptCount val="5"/>
                  <c:pt idx="0">
                    <c:v>2.12</c:v>
                  </c:pt>
                  <c:pt idx="1">
                    <c:v>4.12</c:v>
                  </c:pt>
                  <c:pt idx="2">
                    <c:v>2.72</c:v>
                  </c:pt>
                  <c:pt idx="3">
                    <c:v>3.84</c:v>
                  </c:pt>
                  <c:pt idx="4">
                    <c:v>5.98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'Acrostichum TL (Pea) '!$B$11:$B$15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'Acrostichum TL (Pea) '!$C$11:$C$15</c:f>
              <c:numCache>
                <c:formatCode>General</c:formatCode>
                <c:ptCount val="5"/>
                <c:pt idx="0">
                  <c:v>35.799999999999997</c:v>
                </c:pt>
                <c:pt idx="1">
                  <c:v>36.58</c:v>
                </c:pt>
                <c:pt idx="2">
                  <c:v>34.4</c:v>
                </c:pt>
                <c:pt idx="3">
                  <c:v>26.880000000000003</c:v>
                </c:pt>
                <c:pt idx="4">
                  <c:v>29.18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1-4F18-B66A-4E67DF81E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0177"/>
        <c:axId val="92412716"/>
      </c:barChart>
      <c:catAx>
        <c:axId val="40801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2412716"/>
        <c:crosses val="autoZero"/>
        <c:auto val="1"/>
        <c:lblAlgn val="ctr"/>
        <c:lblOffset val="100"/>
        <c:noMultiLvlLbl val="0"/>
      </c:catAx>
      <c:valAx>
        <c:axId val="924127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Total 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0801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Times New Roman"/>
              </a:rPr>
              <a:t>Quisqualis indica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'Quisqualis TL (Pea)'!$C$9:$D$9</c:f>
              <c:strCache>
                <c:ptCount val="1"/>
                <c:pt idx="0">
                  <c:v>Day 7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'Quisqualis TL (Pea)'!$D$11:$D$15</c:f>
                <c:numCache>
                  <c:formatCode>General</c:formatCode>
                  <c:ptCount val="5"/>
                  <c:pt idx="0">
                    <c:v>1.73</c:v>
                  </c:pt>
                  <c:pt idx="1">
                    <c:v>2.5099999999999998</c:v>
                  </c:pt>
                  <c:pt idx="2">
                    <c:v>4.72</c:v>
                  </c:pt>
                  <c:pt idx="3">
                    <c:v>3.05</c:v>
                  </c:pt>
                  <c:pt idx="4">
                    <c:v>5.98</c:v>
                  </c:pt>
                </c:numCache>
              </c:numRef>
            </c:plus>
            <c:minus>
              <c:numRef>
                <c:f>'Quisqualis TL (Pea)'!$D$11:$D$15</c:f>
                <c:numCache>
                  <c:formatCode>General</c:formatCode>
                  <c:ptCount val="5"/>
                  <c:pt idx="0">
                    <c:v>1.73</c:v>
                  </c:pt>
                  <c:pt idx="1">
                    <c:v>2.5099999999999998</c:v>
                  </c:pt>
                  <c:pt idx="2">
                    <c:v>4.72</c:v>
                  </c:pt>
                  <c:pt idx="3">
                    <c:v>3.05</c:v>
                  </c:pt>
                  <c:pt idx="4">
                    <c:v>5.98</c:v>
                  </c:pt>
                </c:numCache>
              </c:numRef>
            </c:minus>
            <c:spPr>
              <a:ln w="15840">
                <a:solidFill>
                  <a:srgbClr val="000000"/>
                </a:solidFill>
                <a:round/>
              </a:ln>
            </c:spPr>
          </c:errBars>
          <c:cat>
            <c:strRef>
              <c:f>'Quisqualis TL (Pea)'!$B$11:$B$15</c:f>
              <c:strCach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Control</c:v>
                </c:pt>
              </c:strCache>
            </c:strRef>
          </c:cat>
          <c:val>
            <c:numRef>
              <c:f>'Quisqualis TL (Pea)'!$C$11:$C$15</c:f>
              <c:numCache>
                <c:formatCode>General</c:formatCode>
                <c:ptCount val="5"/>
                <c:pt idx="0">
                  <c:v>35.5</c:v>
                </c:pt>
                <c:pt idx="1">
                  <c:v>35.9</c:v>
                </c:pt>
                <c:pt idx="2">
                  <c:v>28.28</c:v>
                </c:pt>
                <c:pt idx="3">
                  <c:v>17.399999999999999</c:v>
                </c:pt>
                <c:pt idx="4">
                  <c:v>29.18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B-4F49-A111-F6745DFAF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802468"/>
        <c:axId val="58718469"/>
      </c:barChart>
      <c:catAx>
        <c:axId val="67802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Biochar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8718469"/>
        <c:crosses val="autoZero"/>
        <c:auto val="1"/>
        <c:lblAlgn val="ctr"/>
        <c:lblOffset val="100"/>
        <c:noMultiLvlLbl val="0"/>
      </c:catAx>
      <c:valAx>
        <c:axId val="5871846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0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200" b="0" strike="noStrike" spc="-1">
                    <a:solidFill>
                      <a:srgbClr val="595959"/>
                    </a:solidFill>
                    <a:latin typeface="Times New Roman"/>
                  </a:rPr>
                  <a:t>RootLength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78024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107640</xdr:colOff>
      <xdr:row>0</xdr:row>
      <xdr:rowOff>87480</xdr:rowOff>
    </xdr:from>
    <xdr:to>
      <xdr:col>21</xdr:col>
      <xdr:colOff>96120</xdr:colOff>
      <xdr:row>22</xdr:row>
      <xdr:rowOff>123120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107640</xdr:colOff>
      <xdr:row>0</xdr:row>
      <xdr:rowOff>87480</xdr:rowOff>
    </xdr:from>
    <xdr:to>
      <xdr:col>21</xdr:col>
      <xdr:colOff>96120</xdr:colOff>
      <xdr:row>22</xdr:row>
      <xdr:rowOff>123120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161765</xdr:colOff>
      <xdr:row>2</xdr:row>
      <xdr:rowOff>33355</xdr:rowOff>
    </xdr:from>
    <xdr:to>
      <xdr:col>22</xdr:col>
      <xdr:colOff>148340</xdr:colOff>
      <xdr:row>24</xdr:row>
      <xdr:rowOff>97010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107640</xdr:colOff>
      <xdr:row>0</xdr:row>
      <xdr:rowOff>87480</xdr:rowOff>
    </xdr:from>
    <xdr:to>
      <xdr:col>21</xdr:col>
      <xdr:colOff>96120</xdr:colOff>
      <xdr:row>22</xdr:row>
      <xdr:rowOff>123120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545760</xdr:colOff>
      <xdr:row>1</xdr:row>
      <xdr:rowOff>122400</xdr:rowOff>
    </xdr:from>
    <xdr:to>
      <xdr:col>16</xdr:col>
      <xdr:colOff>534240</xdr:colOff>
      <xdr:row>24</xdr:row>
      <xdr:rowOff>166680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449280</xdr:colOff>
      <xdr:row>0</xdr:row>
      <xdr:rowOff>183600</xdr:rowOff>
    </xdr:from>
    <xdr:to>
      <xdr:col>16</xdr:col>
      <xdr:colOff>437760</xdr:colOff>
      <xdr:row>24</xdr:row>
      <xdr:rowOff>35280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440640</xdr:colOff>
      <xdr:row>0</xdr:row>
      <xdr:rowOff>183600</xdr:rowOff>
    </xdr:from>
    <xdr:to>
      <xdr:col>16</xdr:col>
      <xdr:colOff>429120</xdr:colOff>
      <xdr:row>24</xdr:row>
      <xdr:rowOff>35280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388080</xdr:colOff>
      <xdr:row>0</xdr:row>
      <xdr:rowOff>157320</xdr:rowOff>
    </xdr:from>
    <xdr:to>
      <xdr:col>16</xdr:col>
      <xdr:colOff>376560</xdr:colOff>
      <xdr:row>24</xdr:row>
      <xdr:rowOff>9000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3600</xdr:colOff>
      <xdr:row>7</xdr:row>
      <xdr:rowOff>111240</xdr:rowOff>
    </xdr:from>
    <xdr:to>
      <xdr:col>12</xdr:col>
      <xdr:colOff>654120</xdr:colOff>
      <xdr:row>19</xdr:row>
      <xdr:rowOff>58680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460800</xdr:colOff>
      <xdr:row>5</xdr:row>
      <xdr:rowOff>101880</xdr:rowOff>
    </xdr:from>
    <xdr:to>
      <xdr:col>12</xdr:col>
      <xdr:colOff>378000</xdr:colOff>
      <xdr:row>17</xdr:row>
      <xdr:rowOff>49320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3600</xdr:colOff>
      <xdr:row>7</xdr:row>
      <xdr:rowOff>111240</xdr:rowOff>
    </xdr:from>
    <xdr:to>
      <xdr:col>12</xdr:col>
      <xdr:colOff>654120</xdr:colOff>
      <xdr:row>19</xdr:row>
      <xdr:rowOff>58680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3600</xdr:colOff>
      <xdr:row>7</xdr:row>
      <xdr:rowOff>111240</xdr:rowOff>
    </xdr:from>
    <xdr:to>
      <xdr:col>12</xdr:col>
      <xdr:colOff>654120</xdr:colOff>
      <xdr:row>19</xdr:row>
      <xdr:rowOff>58680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108360</xdr:colOff>
      <xdr:row>6</xdr:row>
      <xdr:rowOff>63720</xdr:rowOff>
    </xdr:from>
    <xdr:to>
      <xdr:col>13</xdr:col>
      <xdr:colOff>25560</xdr:colOff>
      <xdr:row>18</xdr:row>
      <xdr:rowOff>1800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3600</xdr:colOff>
      <xdr:row>7</xdr:row>
      <xdr:rowOff>111240</xdr:rowOff>
    </xdr:from>
    <xdr:to>
      <xdr:col>12</xdr:col>
      <xdr:colOff>654120</xdr:colOff>
      <xdr:row>19</xdr:row>
      <xdr:rowOff>58680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317880</xdr:colOff>
      <xdr:row>5</xdr:row>
      <xdr:rowOff>159120</xdr:rowOff>
    </xdr:from>
    <xdr:to>
      <xdr:col>12</xdr:col>
      <xdr:colOff>235080</xdr:colOff>
      <xdr:row>17</xdr:row>
      <xdr:rowOff>106560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460800</xdr:colOff>
      <xdr:row>5</xdr:row>
      <xdr:rowOff>101880</xdr:rowOff>
    </xdr:from>
    <xdr:to>
      <xdr:col>12</xdr:col>
      <xdr:colOff>378000</xdr:colOff>
      <xdr:row>17</xdr:row>
      <xdr:rowOff>49320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"/>
  <sheetViews>
    <sheetView zoomScale="99" zoomScaleNormal="99" workbookViewId="0">
      <selection activeCell="J10" sqref="J10"/>
    </sheetView>
  </sheetViews>
  <sheetFormatPr defaultColWidth="9" defaultRowHeight="14.4"/>
  <cols>
    <col min="2" max="2" width="13.109375" customWidth="1"/>
    <col min="3" max="3" width="9.6640625" customWidth="1"/>
    <col min="4" max="4" width="14.77734375" customWidth="1"/>
    <col min="5" max="13" width="9.6640625" customWidth="1"/>
    <col min="14" max="28" width="9.6640625" style="7" customWidth="1"/>
    <col min="29" max="29" width="9.6640625" customWidth="1"/>
  </cols>
  <sheetData>
    <row r="1" spans="1:28" ht="15" customHeight="1">
      <c r="A1" s="8"/>
      <c r="B1" s="9" t="s">
        <v>0</v>
      </c>
      <c r="C1" s="9" t="s">
        <v>1</v>
      </c>
      <c r="D1" s="9" t="s">
        <v>2</v>
      </c>
      <c r="E1" s="10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11" t="s">
        <v>11</v>
      </c>
    </row>
    <row r="2" spans="1:28" ht="15" customHeight="1">
      <c r="A2" s="8" t="s">
        <v>12</v>
      </c>
      <c r="B2" s="12" t="s">
        <v>13</v>
      </c>
      <c r="C2" s="13">
        <v>1.5</v>
      </c>
      <c r="D2" s="13">
        <v>1.6</v>
      </c>
      <c r="E2" s="14">
        <v>1.8</v>
      </c>
      <c r="F2" s="13">
        <v>2.1</v>
      </c>
      <c r="G2" s="13">
        <v>2.2999999999999998</v>
      </c>
      <c r="H2" s="13">
        <v>2.2999999999999998</v>
      </c>
      <c r="I2" s="13">
        <v>2.4</v>
      </c>
      <c r="J2" s="13">
        <v>2.4</v>
      </c>
      <c r="K2" s="13">
        <v>2.4</v>
      </c>
      <c r="L2" s="13">
        <v>2.5</v>
      </c>
      <c r="M2" s="16">
        <f>AVERAGE(C2:L2)</f>
        <v>2.13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8" ht="15" customHeight="1">
      <c r="A3" s="8" t="s">
        <v>14</v>
      </c>
      <c r="B3" s="12" t="s">
        <v>13</v>
      </c>
      <c r="C3" s="13">
        <v>3.4</v>
      </c>
      <c r="D3" s="13">
        <v>3.5</v>
      </c>
      <c r="E3" s="14">
        <v>3.5</v>
      </c>
      <c r="F3" s="13">
        <v>3.8</v>
      </c>
      <c r="G3" s="13">
        <v>4</v>
      </c>
      <c r="H3" s="13">
        <v>4.2</v>
      </c>
      <c r="I3" s="13">
        <v>4.7</v>
      </c>
      <c r="J3" s="13">
        <v>4.7</v>
      </c>
      <c r="K3" s="13">
        <v>4.7</v>
      </c>
      <c r="L3" s="13">
        <v>4.8</v>
      </c>
      <c r="M3" s="16">
        <f>AVERAGE(C3:L3)</f>
        <v>4.13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8" s="23" customFormat="1" ht="15" customHeight="1">
      <c r="A4" s="8" t="s">
        <v>15</v>
      </c>
      <c r="B4" s="12" t="s">
        <v>13</v>
      </c>
      <c r="C4" s="19">
        <v>4.5999999999999996</v>
      </c>
      <c r="D4" s="19">
        <v>5.2</v>
      </c>
      <c r="E4" s="20">
        <v>5.3</v>
      </c>
      <c r="F4" s="21">
        <v>5.6</v>
      </c>
      <c r="G4" s="21">
        <v>5.6</v>
      </c>
      <c r="H4" s="21">
        <v>5.7</v>
      </c>
      <c r="I4" s="21">
        <v>5.8</v>
      </c>
      <c r="J4" s="21">
        <v>6</v>
      </c>
      <c r="K4" s="21">
        <v>6.1</v>
      </c>
      <c r="L4" s="21">
        <v>6.2</v>
      </c>
      <c r="M4" s="16">
        <f>AVERAGE(C4:L4)</f>
        <v>5.6100000000000012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s="7" customFormat="1" ht="15" customHeight="1"/>
    <row r="6" spans="1:28" s="7" customFormat="1" ht="15" customHeight="1"/>
    <row r="7" spans="1:28" s="7" customFormat="1"/>
    <row r="8" spans="1:28" ht="14.25" customHeight="1">
      <c r="A8" s="7"/>
      <c r="B8" s="7"/>
      <c r="C8" s="7"/>
      <c r="D8" s="6" t="s">
        <v>16</v>
      </c>
      <c r="E8" s="5" t="s">
        <v>12</v>
      </c>
      <c r="F8" s="5"/>
      <c r="G8" s="5" t="s">
        <v>14</v>
      </c>
      <c r="H8" s="5"/>
      <c r="I8" s="5" t="s">
        <v>15</v>
      </c>
      <c r="J8" s="5"/>
      <c r="K8" s="7"/>
      <c r="L8" s="7"/>
      <c r="M8" s="7"/>
    </row>
    <row r="9" spans="1:28" ht="28.5" customHeight="1">
      <c r="A9" s="7"/>
      <c r="B9" s="7"/>
      <c r="C9" s="7"/>
      <c r="D9" s="6"/>
      <c r="E9" s="24" t="s">
        <v>11</v>
      </c>
      <c r="F9" s="24" t="s">
        <v>17</v>
      </c>
      <c r="G9" s="24" t="s">
        <v>11</v>
      </c>
      <c r="H9" s="24" t="s">
        <v>17</v>
      </c>
      <c r="I9" s="24" t="s">
        <v>11</v>
      </c>
      <c r="J9" s="24" t="s">
        <v>17</v>
      </c>
      <c r="K9" s="7"/>
      <c r="L9" s="7"/>
      <c r="M9" s="7"/>
    </row>
    <row r="10" spans="1:28" ht="27" customHeight="1">
      <c r="A10" s="7"/>
      <c r="B10" s="7"/>
      <c r="C10" s="7"/>
      <c r="D10" s="12" t="s">
        <v>0</v>
      </c>
      <c r="E10" s="16">
        <f>AVERAGE(C2:L2)</f>
        <v>2.13</v>
      </c>
      <c r="F10" s="16">
        <f>ROUND(_xlfn.STDEV.S(C2:L2),2)</f>
        <v>0.37</v>
      </c>
      <c r="G10" s="16">
        <f>AVERAGE(C3:L3)</f>
        <v>4.13</v>
      </c>
      <c r="H10" s="25">
        <f>ROUND(_xlfn.STDEV.S(C3:L3),2)</f>
        <v>0.56999999999999995</v>
      </c>
      <c r="I10" s="16">
        <f>AVERAGE(C4:L4)</f>
        <v>5.6100000000000012</v>
      </c>
      <c r="J10" s="16">
        <f>ROUND(_xlfn.STDEV.S(C4:L4),2)</f>
        <v>0.48</v>
      </c>
      <c r="K10" s="7"/>
      <c r="L10" s="7"/>
      <c r="M10" s="7"/>
    </row>
    <row r="11" spans="1:2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28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2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28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28">
      <c r="A15" s="17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7"/>
    </row>
    <row r="16" spans="1:28">
      <c r="A16" s="17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7"/>
    </row>
    <row r="17" spans="1:13">
      <c r="A17" s="17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7"/>
    </row>
    <row r="18" spans="1:13">
      <c r="A18" s="17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</sheetData>
  <protectedRanges>
    <protectedRange sqref="C2:L4" name="Range1"/>
  </protectedRanges>
  <mergeCells count="4">
    <mergeCell ref="D8:D9"/>
    <mergeCell ref="E8:F8"/>
    <mergeCell ref="G8:H8"/>
    <mergeCell ref="I8:J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6"/>
  <sheetViews>
    <sheetView zoomScale="75" zoomScaleNormal="75" workbookViewId="0">
      <selection activeCell="Y20" sqref="Y20"/>
    </sheetView>
  </sheetViews>
  <sheetFormatPr defaultColWidth="9" defaultRowHeight="14.4"/>
  <cols>
    <col min="2" max="2" width="14" customWidth="1"/>
    <col min="3" max="39" width="9.6640625" customWidth="1"/>
  </cols>
  <sheetData>
    <row r="1" spans="1:37" ht="15" customHeight="1">
      <c r="A1" s="4" t="s">
        <v>12</v>
      </c>
      <c r="B1" s="29" t="s">
        <v>18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</row>
    <row r="2" spans="1:37" ht="15" customHeight="1">
      <c r="A2" s="4"/>
      <c r="B2" s="30">
        <v>0.1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f>AVERAGE(C2:L2)</f>
        <v>0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ht="15" customHeight="1">
      <c r="A3" s="4"/>
      <c r="B3" s="30">
        <v>0.2</v>
      </c>
      <c r="C3" s="13">
        <v>3.2</v>
      </c>
      <c r="D3" s="13">
        <v>2</v>
      </c>
      <c r="E3" s="13">
        <v>2</v>
      </c>
      <c r="F3" s="13">
        <v>2.1</v>
      </c>
      <c r="G3" s="13">
        <v>2.1</v>
      </c>
      <c r="H3" s="13">
        <v>3.6</v>
      </c>
      <c r="I3" s="13">
        <v>2.4</v>
      </c>
      <c r="J3" s="13">
        <v>2.2999999999999998</v>
      </c>
      <c r="K3" s="13">
        <v>2.4</v>
      </c>
      <c r="L3" s="13">
        <v>1.6</v>
      </c>
      <c r="M3" s="13">
        <f>AVERAGE(C3:L3)</f>
        <v>2.37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ht="15" customHeight="1">
      <c r="A4" s="4"/>
      <c r="B4" s="30">
        <v>0.3</v>
      </c>
      <c r="C4" s="13">
        <v>2.4</v>
      </c>
      <c r="D4" s="13">
        <v>2.2000000000000002</v>
      </c>
      <c r="E4" s="13">
        <v>2.4</v>
      </c>
      <c r="F4" s="13">
        <v>2</v>
      </c>
      <c r="G4" s="13">
        <v>2.5</v>
      </c>
      <c r="H4" s="13">
        <v>2</v>
      </c>
      <c r="I4" s="13">
        <v>2</v>
      </c>
      <c r="J4" s="13">
        <v>2.2999999999999998</v>
      </c>
      <c r="K4" s="13">
        <v>2</v>
      </c>
      <c r="L4" s="13">
        <v>2.1</v>
      </c>
      <c r="M4" s="13">
        <f>AVERAGE(C4:L4)</f>
        <v>2.1900000000000004</v>
      </c>
    </row>
    <row r="5" spans="1:37" ht="15" customHeight="1">
      <c r="A5" s="4"/>
      <c r="B5" s="30">
        <v>0.5</v>
      </c>
      <c r="C5" s="13">
        <v>3.1</v>
      </c>
      <c r="D5" s="13">
        <v>3.1</v>
      </c>
      <c r="E5" s="13">
        <v>3.2</v>
      </c>
      <c r="F5" s="13">
        <v>2.5</v>
      </c>
      <c r="G5" s="13">
        <v>2.4</v>
      </c>
      <c r="H5" s="13">
        <v>2.2999999999999998</v>
      </c>
      <c r="I5" s="13">
        <v>2.5</v>
      </c>
      <c r="J5" s="13">
        <v>2.1</v>
      </c>
      <c r="K5" s="13">
        <v>2.5</v>
      </c>
      <c r="L5" s="13">
        <v>2.1</v>
      </c>
      <c r="M5" s="13">
        <f>AVERAGE(C5:L5)</f>
        <v>2.5800000000000005</v>
      </c>
    </row>
    <row r="7" spans="1:37">
      <c r="A7" s="4" t="s">
        <v>14</v>
      </c>
      <c r="B7" s="29" t="s">
        <v>18</v>
      </c>
      <c r="C7" s="29" t="s">
        <v>1</v>
      </c>
      <c r="D7" s="29" t="s">
        <v>2</v>
      </c>
      <c r="E7" s="29" t="s">
        <v>3</v>
      </c>
      <c r="F7" s="29" t="s">
        <v>4</v>
      </c>
      <c r="G7" s="29" t="s">
        <v>5</v>
      </c>
      <c r="H7" s="29" t="s">
        <v>6</v>
      </c>
      <c r="I7" s="29" t="s">
        <v>7</v>
      </c>
      <c r="J7" s="29" t="s">
        <v>8</v>
      </c>
      <c r="K7" s="29" t="s">
        <v>9</v>
      </c>
      <c r="L7" s="29" t="s">
        <v>10</v>
      </c>
      <c r="M7" s="29" t="s">
        <v>11</v>
      </c>
    </row>
    <row r="8" spans="1:37">
      <c r="A8" s="4"/>
      <c r="B8" s="30">
        <v>0.1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f>C8+D8+E8+F8+G8+H8+I8+J8+K8+L8</f>
        <v>0</v>
      </c>
    </row>
    <row r="9" spans="1:37">
      <c r="A9" s="4"/>
      <c r="B9" s="30">
        <v>0.2</v>
      </c>
      <c r="C9" s="13">
        <v>5.0999999999999996</v>
      </c>
      <c r="D9" s="13">
        <v>5.0999999999999996</v>
      </c>
      <c r="E9" s="13">
        <v>5</v>
      </c>
      <c r="F9" s="13">
        <v>4.8</v>
      </c>
      <c r="G9" s="13">
        <v>5.3</v>
      </c>
      <c r="H9" s="13">
        <v>5</v>
      </c>
      <c r="I9" s="13">
        <v>4.5</v>
      </c>
      <c r="J9" s="13">
        <v>5.5</v>
      </c>
      <c r="K9" s="13">
        <v>5.4</v>
      </c>
      <c r="L9" s="13">
        <v>5.7</v>
      </c>
      <c r="M9" s="13">
        <f>AVERAGE(C9:L9)</f>
        <v>5.14</v>
      </c>
    </row>
    <row r="10" spans="1:37">
      <c r="A10" s="4"/>
      <c r="B10" s="30">
        <v>0.3</v>
      </c>
      <c r="C10" s="13">
        <v>4.4000000000000004</v>
      </c>
      <c r="D10" s="13">
        <v>5.6</v>
      </c>
      <c r="E10" s="13">
        <v>5</v>
      </c>
      <c r="F10" s="13">
        <v>5.2</v>
      </c>
      <c r="G10" s="13">
        <v>4.7</v>
      </c>
      <c r="H10" s="13">
        <v>4.2</v>
      </c>
      <c r="I10" s="13">
        <v>4.8</v>
      </c>
      <c r="J10" s="13">
        <v>5.7</v>
      </c>
      <c r="K10" s="13">
        <v>5.5</v>
      </c>
      <c r="L10" s="13">
        <v>4.9000000000000004</v>
      </c>
      <c r="M10" s="13">
        <f>AVERAGE(C10:L10)</f>
        <v>5</v>
      </c>
    </row>
    <row r="11" spans="1:37">
      <c r="A11" s="4"/>
      <c r="B11" s="30">
        <v>0.5</v>
      </c>
      <c r="C11" s="13">
        <v>5.6</v>
      </c>
      <c r="D11" s="13">
        <v>5.7</v>
      </c>
      <c r="E11" s="13">
        <v>6</v>
      </c>
      <c r="F11" s="13">
        <v>5.9</v>
      </c>
      <c r="G11" s="13">
        <v>5.4</v>
      </c>
      <c r="H11" s="13">
        <v>5.2</v>
      </c>
      <c r="I11" s="13">
        <v>5.4</v>
      </c>
      <c r="J11" s="13">
        <v>4.9000000000000004</v>
      </c>
      <c r="K11" s="13">
        <v>5.4</v>
      </c>
      <c r="L11" s="13">
        <v>5.9</v>
      </c>
      <c r="M11" s="13">
        <f>AVERAGE(C11:L11)</f>
        <v>5.54</v>
      </c>
    </row>
    <row r="13" spans="1:37">
      <c r="A13" s="4" t="s">
        <v>15</v>
      </c>
      <c r="B13" s="29" t="s">
        <v>18</v>
      </c>
      <c r="C13" s="29" t="s">
        <v>1</v>
      </c>
      <c r="D13" s="29" t="s">
        <v>2</v>
      </c>
      <c r="E13" s="29" t="s">
        <v>3</v>
      </c>
      <c r="F13" s="29" t="s">
        <v>4</v>
      </c>
      <c r="G13" s="29" t="s">
        <v>5</v>
      </c>
      <c r="H13" s="29" t="s">
        <v>6</v>
      </c>
      <c r="I13" s="29" t="s">
        <v>7</v>
      </c>
      <c r="J13" s="29" t="s">
        <v>8</v>
      </c>
      <c r="K13" s="29" t="s">
        <v>9</v>
      </c>
      <c r="L13" s="29" t="s">
        <v>10</v>
      </c>
      <c r="M13" s="29" t="s">
        <v>11</v>
      </c>
    </row>
    <row r="14" spans="1:37">
      <c r="A14" s="4"/>
      <c r="B14" s="30">
        <v>0.1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f>AVERAGE(C14:L14)</f>
        <v>0</v>
      </c>
    </row>
    <row r="15" spans="1:37">
      <c r="A15" s="4"/>
      <c r="B15" s="30">
        <v>0.2</v>
      </c>
      <c r="C15" s="13">
        <v>6.5</v>
      </c>
      <c r="D15" s="13">
        <v>6.4</v>
      </c>
      <c r="E15" s="13">
        <v>6.7</v>
      </c>
      <c r="F15" s="13">
        <v>6.5</v>
      </c>
      <c r="G15" s="13">
        <v>5.9</v>
      </c>
      <c r="H15" s="13">
        <v>5.2</v>
      </c>
      <c r="I15" s="13">
        <v>6.5</v>
      </c>
      <c r="J15" s="13">
        <v>7</v>
      </c>
      <c r="K15" s="13">
        <v>6.9</v>
      </c>
      <c r="L15" s="13">
        <v>6</v>
      </c>
      <c r="M15" s="13">
        <f>AVERAGE(C15:L15)</f>
        <v>6.36</v>
      </c>
    </row>
    <row r="16" spans="1:37">
      <c r="A16" s="4"/>
      <c r="B16" s="30">
        <v>0.3</v>
      </c>
      <c r="C16" s="13">
        <v>7.5</v>
      </c>
      <c r="D16" s="13">
        <v>7.5</v>
      </c>
      <c r="E16" s="13">
        <v>8</v>
      </c>
      <c r="F16" s="13">
        <v>7.9</v>
      </c>
      <c r="G16" s="13">
        <v>7.9</v>
      </c>
      <c r="H16" s="13">
        <v>7.4</v>
      </c>
      <c r="I16" s="13">
        <v>6.8</v>
      </c>
      <c r="J16" s="13">
        <v>7</v>
      </c>
      <c r="K16" s="13">
        <v>7.1</v>
      </c>
      <c r="L16" s="13">
        <v>6.8</v>
      </c>
      <c r="M16" s="13">
        <f>AVERAGE(C16:L16)</f>
        <v>7.3899999999999988</v>
      </c>
    </row>
    <row r="17" spans="1:13">
      <c r="A17" s="4"/>
      <c r="B17" s="30">
        <v>0.5</v>
      </c>
      <c r="C17" s="13">
        <v>8</v>
      </c>
      <c r="D17" s="13">
        <v>7.8</v>
      </c>
      <c r="E17" s="13">
        <v>7.7</v>
      </c>
      <c r="F17" s="13">
        <v>6.8</v>
      </c>
      <c r="G17" s="13">
        <v>7.9</v>
      </c>
      <c r="H17" s="13">
        <v>8.1999999999999993</v>
      </c>
      <c r="I17" s="13">
        <v>6.9</v>
      </c>
      <c r="J17" s="13">
        <v>7.7</v>
      </c>
      <c r="K17" s="13">
        <v>6.7</v>
      </c>
      <c r="L17" s="13">
        <v>7.7</v>
      </c>
      <c r="M17" s="13">
        <f>AVERAGE(C17:L17)</f>
        <v>7.5400000000000009</v>
      </c>
    </row>
    <row r="18" spans="1:13" ht="6" customHeight="1"/>
    <row r="19" spans="1:13" ht="6" customHeight="1"/>
    <row r="20" spans="1:13" ht="14.25" customHeight="1">
      <c r="B20" s="3" t="s">
        <v>16</v>
      </c>
      <c r="C20" s="2" t="s">
        <v>12</v>
      </c>
      <c r="D20" s="2"/>
      <c r="E20" s="2" t="s">
        <v>14</v>
      </c>
      <c r="F20" s="2"/>
      <c r="G20" s="2" t="s">
        <v>15</v>
      </c>
      <c r="H20" s="2"/>
    </row>
    <row r="21" spans="1:13">
      <c r="B21" s="3"/>
      <c r="C21" s="32" t="s">
        <v>11</v>
      </c>
      <c r="D21" s="32" t="s">
        <v>17</v>
      </c>
      <c r="E21" s="32" t="s">
        <v>11</v>
      </c>
      <c r="F21" s="32" t="s">
        <v>17</v>
      </c>
      <c r="G21" s="32" t="s">
        <v>11</v>
      </c>
      <c r="H21" s="32" t="s">
        <v>17</v>
      </c>
    </row>
    <row r="22" spans="1:13">
      <c r="B22" s="13">
        <v>0.1</v>
      </c>
      <c r="C22" s="19">
        <f>AVERAGE(C2:L2)</f>
        <v>0</v>
      </c>
      <c r="D22" s="19">
        <f>ROUND(_xlfn.STDEV.S(C2:L2),2)</f>
        <v>0</v>
      </c>
      <c r="E22" s="19">
        <f>AVERAGE(C8:L8)</f>
        <v>0</v>
      </c>
      <c r="F22" s="19">
        <f>ROUND(_xlfn.STDEV.S(C8:L8),2)</f>
        <v>0</v>
      </c>
      <c r="G22" s="19">
        <f>AVERAGE(C14:L14)</f>
        <v>0</v>
      </c>
      <c r="H22" s="19">
        <f>ROUND(_xlfn.STDEV.S(C14:L14),2)</f>
        <v>0</v>
      </c>
    </row>
    <row r="23" spans="1:13">
      <c r="B23" s="13">
        <v>0.2</v>
      </c>
      <c r="C23" s="19">
        <f>AVERAGE(C3:L3)</f>
        <v>2.37</v>
      </c>
      <c r="D23" s="19">
        <f>ROUND(_xlfn.STDEV.S(C3:L3),2)</f>
        <v>0.6</v>
      </c>
      <c r="E23" s="19">
        <f>AVERAGE(C9:L9)</f>
        <v>5.14</v>
      </c>
      <c r="F23" s="19">
        <f>ROUND(_xlfn.STDEV.S(C9:L9),2)</f>
        <v>0.35</v>
      </c>
      <c r="G23" s="19">
        <f>AVERAGE(C15:L15)</f>
        <v>6.36</v>
      </c>
      <c r="H23" s="19">
        <f>ROUND(_xlfn.STDEV.S(C15:L15),2)</f>
        <v>0.53</v>
      </c>
    </row>
    <row r="24" spans="1:13">
      <c r="B24" s="13">
        <v>0.3</v>
      </c>
      <c r="C24" s="19">
        <f>AVERAGE(C4:L4)</f>
        <v>2.1900000000000004</v>
      </c>
      <c r="D24" s="19">
        <f>ROUND(_xlfn.STDEV.S(C4:L4),2)</f>
        <v>0.2</v>
      </c>
      <c r="E24" s="19">
        <f>AVERAGE(C10:L10)</f>
        <v>5</v>
      </c>
      <c r="F24" s="19">
        <f>ROUND(_xlfn.STDEV.S(C10:L10),2)</f>
        <v>0.5</v>
      </c>
      <c r="G24" s="19">
        <f>AVERAGE(C16:L16)</f>
        <v>7.3899999999999988</v>
      </c>
      <c r="H24" s="19">
        <f>ROUND(_xlfn.STDEV.S(C16:L16),2)</f>
        <v>0.45</v>
      </c>
    </row>
    <row r="25" spans="1:13">
      <c r="B25" s="13">
        <v>0.5</v>
      </c>
      <c r="C25" s="19">
        <f>AVERAGE(C5:L5)</f>
        <v>2.5800000000000005</v>
      </c>
      <c r="D25" s="19">
        <f>ROUND(_xlfn.STDEV.S(C5:L5),2)</f>
        <v>0.41</v>
      </c>
      <c r="E25" s="19">
        <f>AVERAGE(C11:L11)</f>
        <v>5.54</v>
      </c>
      <c r="F25" s="19">
        <f>ROUND(_xlfn.STDEV.S(C11:L11),2)</f>
        <v>0.35</v>
      </c>
      <c r="G25" s="19">
        <f>AVERAGE(C17:L17)</f>
        <v>7.5400000000000009</v>
      </c>
      <c r="H25" s="19">
        <f>ROUND(_xlfn.STDEV.S(C17:L17),2)</f>
        <v>0.54</v>
      </c>
    </row>
    <row r="26" spans="1:13">
      <c r="B26" s="19" t="s">
        <v>0</v>
      </c>
      <c r="C26" s="19">
        <f>'Control Onion'!E10</f>
        <v>2.13</v>
      </c>
      <c r="D26" s="19">
        <f>'Control Onion'!F10</f>
        <v>0.37</v>
      </c>
      <c r="E26" s="19">
        <f>'Control Onion'!G10</f>
        <v>4.13</v>
      </c>
      <c r="F26" s="19">
        <f>'Control Onion'!H10</f>
        <v>0.56999999999999995</v>
      </c>
      <c r="G26" s="19">
        <f>'Control Onion'!I10</f>
        <v>5.6100000000000012</v>
      </c>
      <c r="H26" s="19">
        <f>'Control Onion'!J10</f>
        <v>0.48</v>
      </c>
    </row>
  </sheetData>
  <mergeCells count="7">
    <mergeCell ref="E20:F20"/>
    <mergeCell ref="G20:H20"/>
    <mergeCell ref="A1:A5"/>
    <mergeCell ref="A7:A11"/>
    <mergeCell ref="A13:A17"/>
    <mergeCell ref="B20:B21"/>
    <mergeCell ref="C20:D2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6"/>
  <sheetViews>
    <sheetView zoomScale="70" zoomScaleNormal="70" workbookViewId="0">
      <selection activeCell="C26" sqref="C26"/>
    </sheetView>
  </sheetViews>
  <sheetFormatPr defaultColWidth="9" defaultRowHeight="14.4"/>
  <cols>
    <col min="2" max="2" width="13.109375" customWidth="1"/>
    <col min="3" max="39" width="9.6640625" customWidth="1"/>
  </cols>
  <sheetData>
    <row r="1" spans="1:37" ht="15" customHeight="1">
      <c r="A1" s="4" t="s">
        <v>12</v>
      </c>
      <c r="B1" s="29" t="s">
        <v>18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</row>
    <row r="2" spans="1:37" ht="15" customHeight="1">
      <c r="A2" s="4"/>
      <c r="B2" s="30">
        <v>0.1</v>
      </c>
      <c r="C2" s="13">
        <v>1.8</v>
      </c>
      <c r="D2" s="13">
        <v>1.1000000000000001</v>
      </c>
      <c r="E2" s="13">
        <v>1</v>
      </c>
      <c r="F2" s="13">
        <v>1.4</v>
      </c>
      <c r="G2" s="13">
        <v>1.3</v>
      </c>
      <c r="H2" s="13">
        <v>1.5</v>
      </c>
      <c r="I2" s="13">
        <v>1</v>
      </c>
      <c r="J2" s="13">
        <v>1.5</v>
      </c>
      <c r="K2" s="13">
        <v>1</v>
      </c>
      <c r="L2" s="13">
        <v>1</v>
      </c>
      <c r="M2" s="13">
        <f>AVERAGE(C2:L2)</f>
        <v>1.2600000000000002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ht="15" customHeight="1">
      <c r="A3" s="4"/>
      <c r="B3" s="30">
        <v>0.2</v>
      </c>
      <c r="C3" s="13">
        <v>1.5</v>
      </c>
      <c r="D3" s="13">
        <v>1.4</v>
      </c>
      <c r="E3" s="13">
        <v>1.9</v>
      </c>
      <c r="F3" s="13">
        <v>1.8</v>
      </c>
      <c r="G3" s="13">
        <v>1.4</v>
      </c>
      <c r="H3" s="13">
        <v>1.3</v>
      </c>
      <c r="I3" s="13">
        <v>1.3</v>
      </c>
      <c r="J3" s="13">
        <v>2.2000000000000002</v>
      </c>
      <c r="K3" s="13">
        <v>1</v>
      </c>
      <c r="L3" s="13">
        <v>1.2</v>
      </c>
      <c r="M3" s="13">
        <f>AVERAGE(C3:L3)</f>
        <v>1.5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ht="15" customHeight="1">
      <c r="A4" s="4"/>
      <c r="B4" s="30">
        <v>0.3</v>
      </c>
      <c r="C4" s="13">
        <v>1.5</v>
      </c>
      <c r="D4" s="13">
        <v>2</v>
      </c>
      <c r="E4" s="13">
        <v>2.2000000000000002</v>
      </c>
      <c r="F4" s="13">
        <v>1.8</v>
      </c>
      <c r="G4" s="13">
        <v>1.4</v>
      </c>
      <c r="H4" s="13">
        <v>1.7</v>
      </c>
      <c r="I4" s="13">
        <v>2.2999999999999998</v>
      </c>
      <c r="J4" s="13">
        <v>2</v>
      </c>
      <c r="K4" s="13">
        <v>2.2000000000000002</v>
      </c>
      <c r="L4" s="13">
        <v>2.1</v>
      </c>
      <c r="M4" s="13">
        <f>AVERAGE(C4:L4)</f>
        <v>1.92</v>
      </c>
    </row>
    <row r="5" spans="1:37" ht="15" customHeight="1">
      <c r="A5" s="4"/>
      <c r="B5" s="30">
        <v>0.5</v>
      </c>
      <c r="C5" s="13">
        <v>2.7</v>
      </c>
      <c r="D5" s="13">
        <v>2.5</v>
      </c>
      <c r="E5" s="13">
        <v>3</v>
      </c>
      <c r="F5" s="13">
        <v>2.9</v>
      </c>
      <c r="G5" s="13">
        <v>3</v>
      </c>
      <c r="H5" s="13">
        <v>2.9</v>
      </c>
      <c r="I5" s="13">
        <v>2.5</v>
      </c>
      <c r="J5" s="13">
        <v>2.9</v>
      </c>
      <c r="K5" s="13">
        <v>2.6</v>
      </c>
      <c r="L5" s="13">
        <v>2.7</v>
      </c>
      <c r="M5" s="13">
        <f>AVERAGE(C5:L5)</f>
        <v>2.77</v>
      </c>
    </row>
    <row r="7" spans="1:37" ht="28.8">
      <c r="A7" s="4" t="s">
        <v>14</v>
      </c>
      <c r="B7" s="29" t="s">
        <v>18</v>
      </c>
      <c r="C7" s="29" t="s">
        <v>1</v>
      </c>
      <c r="D7" s="29" t="s">
        <v>2</v>
      </c>
      <c r="E7" s="29" t="s">
        <v>3</v>
      </c>
      <c r="F7" s="29" t="s">
        <v>4</v>
      </c>
      <c r="G7" s="29" t="s">
        <v>5</v>
      </c>
      <c r="H7" s="29" t="s">
        <v>6</v>
      </c>
      <c r="I7" s="29" t="s">
        <v>7</v>
      </c>
      <c r="J7" s="29" t="s">
        <v>8</v>
      </c>
      <c r="K7" s="29" t="s">
        <v>9</v>
      </c>
      <c r="L7" s="29" t="s">
        <v>10</v>
      </c>
      <c r="M7" s="29" t="s">
        <v>11</v>
      </c>
    </row>
    <row r="8" spans="1:37">
      <c r="A8" s="4"/>
      <c r="B8" s="30">
        <v>0.1</v>
      </c>
      <c r="C8" s="13">
        <v>2.4</v>
      </c>
      <c r="D8" s="13">
        <v>2.5</v>
      </c>
      <c r="E8" s="13">
        <v>2.1</v>
      </c>
      <c r="F8" s="13">
        <v>3.1</v>
      </c>
      <c r="G8" s="13">
        <v>2.9</v>
      </c>
      <c r="H8" s="13">
        <v>1.8</v>
      </c>
      <c r="I8" s="13">
        <v>2.2999999999999998</v>
      </c>
      <c r="J8" s="13">
        <v>2.8</v>
      </c>
      <c r="K8" s="13">
        <v>2</v>
      </c>
      <c r="L8" s="13">
        <v>1.6</v>
      </c>
      <c r="M8" s="13">
        <f>AVERAGE(C8:L8)</f>
        <v>2.3500000000000005</v>
      </c>
    </row>
    <row r="9" spans="1:37">
      <c r="A9" s="4"/>
      <c r="B9" s="30">
        <v>0.2</v>
      </c>
      <c r="C9" s="13">
        <v>2.8</v>
      </c>
      <c r="D9" s="13">
        <v>2.2999999999999998</v>
      </c>
      <c r="E9" s="13">
        <v>3.2</v>
      </c>
      <c r="F9" s="13">
        <v>2.5</v>
      </c>
      <c r="G9" s="13">
        <v>3.8</v>
      </c>
      <c r="H9" s="13">
        <v>3.5</v>
      </c>
      <c r="I9" s="13">
        <v>3.3</v>
      </c>
      <c r="J9" s="13">
        <v>2.8</v>
      </c>
      <c r="K9" s="13">
        <v>2.8</v>
      </c>
      <c r="L9" s="13">
        <v>2.2000000000000002</v>
      </c>
      <c r="M9" s="13">
        <f>AVERAGE(C9:L9)</f>
        <v>2.9200000000000004</v>
      </c>
    </row>
    <row r="10" spans="1:37">
      <c r="A10" s="4"/>
      <c r="B10" s="30">
        <v>0.3</v>
      </c>
      <c r="C10" s="13">
        <v>4.0999999999999996</v>
      </c>
      <c r="D10" s="13">
        <v>4</v>
      </c>
      <c r="E10" s="13">
        <v>3.9</v>
      </c>
      <c r="F10" s="13">
        <v>3.3</v>
      </c>
      <c r="G10" s="13">
        <v>3.4</v>
      </c>
      <c r="H10" s="13">
        <v>3.1</v>
      </c>
      <c r="I10" s="13">
        <v>4.2</v>
      </c>
      <c r="J10" s="13">
        <v>4.5999999999999996</v>
      </c>
      <c r="K10" s="13">
        <v>3.6</v>
      </c>
      <c r="L10" s="13">
        <v>3.5</v>
      </c>
      <c r="M10" s="13">
        <f>AVERAGE(C10:L10)</f>
        <v>3.7700000000000005</v>
      </c>
    </row>
    <row r="11" spans="1:37">
      <c r="A11" s="4"/>
      <c r="B11" s="30">
        <v>0.5</v>
      </c>
      <c r="C11" s="13">
        <v>5.6</v>
      </c>
      <c r="D11" s="13">
        <v>5.4</v>
      </c>
      <c r="E11" s="13">
        <v>5.0999999999999996</v>
      </c>
      <c r="F11" s="13">
        <v>5.9</v>
      </c>
      <c r="G11" s="13">
        <v>5.5</v>
      </c>
      <c r="H11" s="13">
        <v>5.6</v>
      </c>
      <c r="I11" s="13">
        <v>5.5</v>
      </c>
      <c r="J11" s="13">
        <v>6.5</v>
      </c>
      <c r="K11" s="13">
        <v>5.5</v>
      </c>
      <c r="L11" s="13">
        <v>6.3</v>
      </c>
      <c r="M11" s="13">
        <f>AVERAGE(C11:L11)</f>
        <v>5.6899999999999995</v>
      </c>
    </row>
    <row r="13" spans="1:37">
      <c r="A13" s="4" t="s">
        <v>15</v>
      </c>
      <c r="B13" s="29" t="s">
        <v>18</v>
      </c>
      <c r="C13" s="29" t="s">
        <v>1</v>
      </c>
      <c r="D13" s="29" t="s">
        <v>2</v>
      </c>
      <c r="E13" s="29" t="s">
        <v>3</v>
      </c>
      <c r="F13" s="29" t="s">
        <v>4</v>
      </c>
      <c r="G13" s="29" t="s">
        <v>5</v>
      </c>
      <c r="H13" s="29" t="s">
        <v>6</v>
      </c>
      <c r="I13" s="29" t="s">
        <v>7</v>
      </c>
      <c r="J13" s="29" t="s">
        <v>8</v>
      </c>
      <c r="K13" s="29" t="s">
        <v>9</v>
      </c>
      <c r="L13" s="29" t="s">
        <v>10</v>
      </c>
      <c r="M13" s="29" t="s">
        <v>11</v>
      </c>
    </row>
    <row r="14" spans="1:37">
      <c r="A14" s="4"/>
      <c r="B14" s="30">
        <v>0.1</v>
      </c>
      <c r="C14" s="13">
        <v>4</v>
      </c>
      <c r="D14" s="13">
        <v>4.5</v>
      </c>
      <c r="E14" s="13">
        <v>3.5</v>
      </c>
      <c r="F14" s="13">
        <v>3</v>
      </c>
      <c r="G14" s="13">
        <v>4</v>
      </c>
      <c r="H14" s="13">
        <v>2.4</v>
      </c>
      <c r="I14" s="13">
        <v>3.9</v>
      </c>
      <c r="J14" s="13">
        <v>2.8</v>
      </c>
      <c r="K14" s="13">
        <v>2.2000000000000002</v>
      </c>
      <c r="L14" s="13">
        <v>2.1</v>
      </c>
      <c r="M14" s="13">
        <f>AVERAGE(C14:L14)</f>
        <v>3.2399999999999998</v>
      </c>
    </row>
    <row r="15" spans="1:37">
      <c r="A15" s="4"/>
      <c r="B15" s="30">
        <v>0.2</v>
      </c>
      <c r="C15" s="13">
        <v>4.7</v>
      </c>
      <c r="D15" s="13">
        <v>4.7</v>
      </c>
      <c r="E15" s="13">
        <v>4.2</v>
      </c>
      <c r="F15" s="13">
        <v>3.4</v>
      </c>
      <c r="G15" s="13">
        <v>3.4</v>
      </c>
      <c r="H15" s="13">
        <v>3.9</v>
      </c>
      <c r="I15" s="13">
        <v>3.7</v>
      </c>
      <c r="J15" s="13">
        <v>3.8</v>
      </c>
      <c r="K15" s="13">
        <v>2.7</v>
      </c>
      <c r="L15" s="13">
        <v>3.4</v>
      </c>
      <c r="M15" s="13">
        <f>AVERAGE(C15:L15)</f>
        <v>3.79</v>
      </c>
    </row>
    <row r="16" spans="1:37">
      <c r="A16" s="4"/>
      <c r="B16" s="30">
        <v>0.3</v>
      </c>
      <c r="C16" s="13">
        <v>5.4</v>
      </c>
      <c r="D16" s="13">
        <v>5.2</v>
      </c>
      <c r="E16" s="13">
        <v>5</v>
      </c>
      <c r="F16" s="13">
        <v>4.2</v>
      </c>
      <c r="G16" s="13">
        <v>5.0999999999999996</v>
      </c>
      <c r="H16" s="13">
        <v>4.8</v>
      </c>
      <c r="I16" s="13">
        <v>4.9000000000000004</v>
      </c>
      <c r="J16" s="13">
        <v>5.7</v>
      </c>
      <c r="K16" s="13">
        <v>4.4000000000000004</v>
      </c>
      <c r="L16" s="13">
        <v>4.0999999999999996</v>
      </c>
      <c r="M16" s="13">
        <f>AVERAGE(C16:L16)</f>
        <v>4.8800000000000008</v>
      </c>
    </row>
    <row r="17" spans="1:13">
      <c r="A17" s="4"/>
      <c r="B17" s="30">
        <v>0.5</v>
      </c>
      <c r="C17" s="13">
        <v>6.6</v>
      </c>
      <c r="D17" s="13">
        <v>6</v>
      </c>
      <c r="E17" s="13">
        <v>8.3000000000000007</v>
      </c>
      <c r="F17" s="13">
        <v>7.9</v>
      </c>
      <c r="G17" s="13">
        <v>7.6</v>
      </c>
      <c r="H17" s="13">
        <v>8.5</v>
      </c>
      <c r="I17" s="13">
        <v>8.1999999999999993</v>
      </c>
      <c r="J17" s="13">
        <v>6.2</v>
      </c>
      <c r="K17" s="13">
        <v>6.3</v>
      </c>
      <c r="L17" s="13">
        <v>6</v>
      </c>
      <c r="M17" s="13">
        <f>AVERAGE(C17:L17)</f>
        <v>7.1599999999999993</v>
      </c>
    </row>
    <row r="18" spans="1:13" ht="6" customHeight="1"/>
    <row r="19" spans="1:13" ht="6" customHeight="1"/>
    <row r="20" spans="1:13" ht="14.25" customHeight="1">
      <c r="B20" s="3" t="s">
        <v>16</v>
      </c>
      <c r="C20" s="1" t="s">
        <v>12</v>
      </c>
      <c r="D20" s="1"/>
      <c r="E20" s="1" t="s">
        <v>14</v>
      </c>
      <c r="F20" s="1"/>
      <c r="G20" s="1" t="s">
        <v>15</v>
      </c>
      <c r="H20" s="1"/>
    </row>
    <row r="21" spans="1:13">
      <c r="B21" s="3"/>
      <c r="C21" s="32" t="s">
        <v>11</v>
      </c>
      <c r="D21" s="32" t="s">
        <v>17</v>
      </c>
      <c r="E21" s="32" t="s">
        <v>11</v>
      </c>
      <c r="F21" s="32" t="s">
        <v>17</v>
      </c>
      <c r="G21" s="32" t="s">
        <v>11</v>
      </c>
      <c r="H21" s="32" t="s">
        <v>17</v>
      </c>
    </row>
    <row r="22" spans="1:13">
      <c r="B22" s="30">
        <v>0.1</v>
      </c>
      <c r="C22" s="19">
        <f>AVERAGE(C2:L2)</f>
        <v>1.2600000000000002</v>
      </c>
      <c r="D22" s="19">
        <f>ROUND(_xlfn.STDEV.S(C2:L2),2)</f>
        <v>0.28000000000000003</v>
      </c>
      <c r="E22" s="19">
        <f>AVERAGE(C8:L8)</f>
        <v>2.3500000000000005</v>
      </c>
      <c r="F22" s="19">
        <f>ROUND(_xlfn.STDEV.S(C8:L8),2)</f>
        <v>0.49</v>
      </c>
      <c r="G22" s="19">
        <f>AVERAGE(C14:L14)</f>
        <v>3.2399999999999998</v>
      </c>
      <c r="H22" s="19">
        <f>ROUND(_xlfn.STDEV.S(C14:L14),2)</f>
        <v>0.86</v>
      </c>
    </row>
    <row r="23" spans="1:13">
      <c r="B23" s="30">
        <v>0.2</v>
      </c>
      <c r="C23" s="19">
        <f>AVERAGE(C3:L3)</f>
        <v>1.5</v>
      </c>
      <c r="D23" s="19">
        <f>ROUND(_xlfn.STDEV.S(C3:L3),2)</f>
        <v>0.36</v>
      </c>
      <c r="E23" s="19">
        <f>AVERAGE(C9:L9)</f>
        <v>2.9200000000000004</v>
      </c>
      <c r="F23" s="19">
        <f>ROUND(_xlfn.STDEV.S(C9:L9),2)</f>
        <v>0.52</v>
      </c>
      <c r="G23" s="19">
        <f>AVERAGE(C15:L15)</f>
        <v>3.79</v>
      </c>
      <c r="H23" s="19">
        <f>ROUND(_xlfn.STDEV.S(C15:L15),2)</f>
        <v>0.62</v>
      </c>
    </row>
    <row r="24" spans="1:13">
      <c r="B24" s="30">
        <v>0.3</v>
      </c>
      <c r="C24" s="19">
        <f>AVERAGE(C4:L4)</f>
        <v>1.92</v>
      </c>
      <c r="D24" s="19">
        <f>ROUND(_xlfn.STDEV.S(C4:L4),2)</f>
        <v>0.31</v>
      </c>
      <c r="E24" s="19">
        <f>AVERAGE(C10:L10)</f>
        <v>3.7700000000000005</v>
      </c>
      <c r="F24" s="19">
        <f>ROUND(_xlfn.STDEV.S(C10:L10),2)</f>
        <v>0.47</v>
      </c>
      <c r="G24" s="19">
        <f>AVERAGE(C16:L16)</f>
        <v>4.8800000000000008</v>
      </c>
      <c r="H24" s="19">
        <f>ROUND(_xlfn.STDEV.S(C16:L16),2)</f>
        <v>0.52</v>
      </c>
    </row>
    <row r="25" spans="1:13">
      <c r="B25" s="30">
        <v>0.5</v>
      </c>
      <c r="C25" s="19">
        <f>AVERAGE(C5:L5)</f>
        <v>2.77</v>
      </c>
      <c r="D25" s="19">
        <f>ROUND(_xlfn.STDEV.S(C5:L5),2)</f>
        <v>0.19</v>
      </c>
      <c r="E25" s="19">
        <f>AVERAGE(C11:L11)</f>
        <v>5.6899999999999995</v>
      </c>
      <c r="F25" s="19">
        <f>ROUND(_xlfn.STDEV.S(C11:L11),2)</f>
        <v>0.43</v>
      </c>
      <c r="G25" s="19">
        <f>AVERAGE(C17:L17)</f>
        <v>7.1599999999999993</v>
      </c>
      <c r="H25" s="19">
        <f>ROUND(_xlfn.STDEV.S(C17:L17),2)</f>
        <v>1.03</v>
      </c>
    </row>
    <row r="26" spans="1:13">
      <c r="B26" s="19" t="s">
        <v>0</v>
      </c>
      <c r="C26" s="19">
        <f>'Control Onion'!E10</f>
        <v>2.13</v>
      </c>
      <c r="D26" s="19">
        <f>'Control Onion'!F10</f>
        <v>0.37</v>
      </c>
      <c r="E26" s="19">
        <f>'Control Onion'!G10</f>
        <v>4.13</v>
      </c>
      <c r="F26" s="19">
        <f>'Control Onion'!H10</f>
        <v>0.56999999999999995</v>
      </c>
      <c r="G26" s="19">
        <f>'Control Onion'!I10</f>
        <v>5.6100000000000012</v>
      </c>
      <c r="H26" s="19">
        <f>'Control Onion'!J10</f>
        <v>0.48</v>
      </c>
    </row>
  </sheetData>
  <mergeCells count="7">
    <mergeCell ref="E20:F20"/>
    <mergeCell ref="G20:H20"/>
    <mergeCell ref="A1:A5"/>
    <mergeCell ref="A7:A11"/>
    <mergeCell ref="A13:A17"/>
    <mergeCell ref="B20:B21"/>
    <mergeCell ref="C20:D2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6"/>
  <sheetViews>
    <sheetView zoomScale="68" zoomScaleNormal="68" workbookViewId="0">
      <selection activeCell="X14" sqref="X14"/>
    </sheetView>
  </sheetViews>
  <sheetFormatPr defaultColWidth="9" defaultRowHeight="14.4"/>
  <cols>
    <col min="2" max="2" width="13.109375" customWidth="1"/>
    <col min="3" max="39" width="9.6640625" customWidth="1"/>
  </cols>
  <sheetData>
    <row r="1" spans="1:37" ht="15" customHeight="1">
      <c r="A1" s="4" t="s">
        <v>12</v>
      </c>
      <c r="B1" s="29" t="s">
        <v>18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</row>
    <row r="2" spans="1:37" ht="15" customHeight="1">
      <c r="A2" s="4"/>
      <c r="B2" s="30">
        <v>0.1</v>
      </c>
      <c r="C2" s="13">
        <v>2.4</v>
      </c>
      <c r="D2" s="13">
        <v>2.9</v>
      </c>
      <c r="E2" s="13">
        <v>2.7</v>
      </c>
      <c r="F2" s="13">
        <v>2.4</v>
      </c>
      <c r="G2" s="13">
        <v>2.1</v>
      </c>
      <c r="H2" s="13">
        <v>2.2000000000000002</v>
      </c>
      <c r="I2" s="13">
        <v>3.1</v>
      </c>
      <c r="J2" s="13">
        <v>2.2000000000000002</v>
      </c>
      <c r="K2" s="13">
        <v>1.9</v>
      </c>
      <c r="L2" s="13">
        <v>1.5</v>
      </c>
      <c r="M2" s="13">
        <f>AVERAGE(C2:L2)</f>
        <v>2.34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ht="15" customHeight="1">
      <c r="A3" s="4"/>
      <c r="B3" s="30">
        <v>0.2</v>
      </c>
      <c r="C3" s="13">
        <v>1.9</v>
      </c>
      <c r="D3" s="13">
        <v>1.9</v>
      </c>
      <c r="E3" s="13">
        <v>2.2000000000000002</v>
      </c>
      <c r="F3" s="13">
        <v>2</v>
      </c>
      <c r="G3" s="13">
        <v>2</v>
      </c>
      <c r="H3" s="13">
        <v>2.1</v>
      </c>
      <c r="I3" s="13">
        <v>1.5</v>
      </c>
      <c r="J3" s="13">
        <v>1.9</v>
      </c>
      <c r="K3" s="13">
        <v>1.8</v>
      </c>
      <c r="L3" s="13">
        <v>2</v>
      </c>
      <c r="M3" s="13">
        <f>AVERAGE(C3:L3)</f>
        <v>1.9300000000000002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ht="15" customHeight="1">
      <c r="A4" s="4"/>
      <c r="B4" s="30">
        <v>0.3</v>
      </c>
      <c r="C4" s="13">
        <v>2.4</v>
      </c>
      <c r="D4" s="13">
        <v>1.9</v>
      </c>
      <c r="E4" s="13">
        <v>2.1</v>
      </c>
      <c r="F4" s="13">
        <v>2.2999999999999998</v>
      </c>
      <c r="G4" s="13">
        <v>1.9</v>
      </c>
      <c r="H4" s="13">
        <v>2</v>
      </c>
      <c r="I4" s="13">
        <v>1.6</v>
      </c>
      <c r="J4" s="13">
        <v>1.7</v>
      </c>
      <c r="K4" s="13">
        <v>2.2999999999999998</v>
      </c>
      <c r="L4" s="13">
        <v>2</v>
      </c>
      <c r="M4" s="13">
        <f>AVERAGE(C4:L4)</f>
        <v>2.02</v>
      </c>
    </row>
    <row r="5" spans="1:37" ht="15" customHeight="1">
      <c r="A5" s="4"/>
      <c r="B5" s="30">
        <v>0.5</v>
      </c>
      <c r="C5" s="13">
        <v>3.5</v>
      </c>
      <c r="D5" s="13">
        <v>3.5</v>
      </c>
      <c r="E5" s="13">
        <v>2.2999999999999998</v>
      </c>
      <c r="F5" s="13">
        <v>2.4</v>
      </c>
      <c r="G5" s="13">
        <v>2.5</v>
      </c>
      <c r="H5" s="13">
        <v>2.4</v>
      </c>
      <c r="I5" s="13">
        <v>2.2000000000000002</v>
      </c>
      <c r="J5" s="13">
        <v>1.7</v>
      </c>
      <c r="K5" s="13">
        <v>1.5</v>
      </c>
      <c r="L5" s="13">
        <v>1.4</v>
      </c>
      <c r="M5" s="13">
        <f>AVERAGE(C5:L5)</f>
        <v>2.34</v>
      </c>
    </row>
    <row r="7" spans="1:37" ht="28.8">
      <c r="A7" s="4" t="s">
        <v>14</v>
      </c>
      <c r="B7" s="29" t="s">
        <v>18</v>
      </c>
      <c r="C7" s="29" t="s">
        <v>1</v>
      </c>
      <c r="D7" s="29" t="s">
        <v>2</v>
      </c>
      <c r="E7" s="29" t="s">
        <v>3</v>
      </c>
      <c r="F7" s="29" t="s">
        <v>4</v>
      </c>
      <c r="G7" s="29" t="s">
        <v>5</v>
      </c>
      <c r="H7" s="29" t="s">
        <v>6</v>
      </c>
      <c r="I7" s="29" t="s">
        <v>7</v>
      </c>
      <c r="J7" s="29" t="s">
        <v>8</v>
      </c>
      <c r="K7" s="29" t="s">
        <v>9</v>
      </c>
      <c r="L7" s="29" t="s">
        <v>10</v>
      </c>
      <c r="M7" s="29" t="s">
        <v>11</v>
      </c>
    </row>
    <row r="8" spans="1:37">
      <c r="A8" s="4"/>
      <c r="B8" s="30">
        <v>0.1</v>
      </c>
      <c r="C8" s="13">
        <v>5.9</v>
      </c>
      <c r="D8" s="13">
        <v>6.1</v>
      </c>
      <c r="E8" s="13">
        <v>6</v>
      </c>
      <c r="F8" s="13">
        <v>5.4</v>
      </c>
      <c r="G8" s="13">
        <v>5.5</v>
      </c>
      <c r="H8" s="13">
        <v>5</v>
      </c>
      <c r="I8" s="13">
        <v>5.0999999999999996</v>
      </c>
      <c r="J8" s="13">
        <v>4.2</v>
      </c>
      <c r="K8" s="13">
        <v>5.0999999999999996</v>
      </c>
      <c r="L8" s="13">
        <v>4.4000000000000004</v>
      </c>
      <c r="M8" s="13">
        <f>AVERAGE(C8:L8)</f>
        <v>5.2700000000000005</v>
      </c>
    </row>
    <row r="9" spans="1:37">
      <c r="A9" s="4"/>
      <c r="B9" s="30">
        <v>0.2</v>
      </c>
      <c r="C9" s="13">
        <v>4.2</v>
      </c>
      <c r="D9" s="13">
        <v>3.4</v>
      </c>
      <c r="E9" s="13">
        <v>3.1</v>
      </c>
      <c r="F9" s="13">
        <v>3</v>
      </c>
      <c r="G9" s="13">
        <v>4.3</v>
      </c>
      <c r="H9" s="13">
        <v>4.0999999999999996</v>
      </c>
      <c r="I9" s="13">
        <v>3.7</v>
      </c>
      <c r="J9" s="13">
        <v>4.0999999999999996</v>
      </c>
      <c r="K9" s="13">
        <v>4.0999999999999996</v>
      </c>
      <c r="L9" s="13">
        <v>4.5</v>
      </c>
      <c r="M9" s="13">
        <f>AVERAGE(C9:L9)</f>
        <v>3.85</v>
      </c>
    </row>
    <row r="10" spans="1:37">
      <c r="A10" s="4"/>
      <c r="B10" s="30">
        <v>0.3</v>
      </c>
      <c r="C10" s="13">
        <v>6.2</v>
      </c>
      <c r="D10" s="13">
        <v>5.6</v>
      </c>
      <c r="E10" s="13">
        <v>5.5</v>
      </c>
      <c r="F10" s="13">
        <v>6.3</v>
      </c>
      <c r="G10" s="13">
        <v>5.9</v>
      </c>
      <c r="H10" s="13">
        <v>6.3</v>
      </c>
      <c r="I10" s="13">
        <v>5.4</v>
      </c>
      <c r="J10" s="13">
        <v>5.7</v>
      </c>
      <c r="K10" s="13">
        <v>6.5</v>
      </c>
      <c r="L10" s="13">
        <v>6.5</v>
      </c>
      <c r="M10" s="13">
        <f>AVERAGE(C10:L10)</f>
        <v>5.99</v>
      </c>
    </row>
    <row r="11" spans="1:37">
      <c r="A11" s="4"/>
      <c r="B11" s="30">
        <v>0.5</v>
      </c>
      <c r="C11" s="13">
        <v>7</v>
      </c>
      <c r="D11" s="13">
        <v>7.1</v>
      </c>
      <c r="E11" s="13">
        <v>7.6</v>
      </c>
      <c r="F11" s="13">
        <v>6.5</v>
      </c>
      <c r="G11" s="13">
        <v>6</v>
      </c>
      <c r="H11" s="13">
        <v>4.5</v>
      </c>
      <c r="I11" s="13">
        <v>6.8</v>
      </c>
      <c r="J11" s="13">
        <v>6.8</v>
      </c>
      <c r="K11" s="13">
        <v>4.5999999999999996</v>
      </c>
      <c r="L11" s="13">
        <v>4.4000000000000004</v>
      </c>
      <c r="M11" s="13">
        <f>AVERAGE(C11:L11)</f>
        <v>6.13</v>
      </c>
    </row>
    <row r="13" spans="1:37">
      <c r="A13" s="4" t="s">
        <v>15</v>
      </c>
      <c r="B13" s="29" t="s">
        <v>18</v>
      </c>
      <c r="C13" s="29" t="s">
        <v>1</v>
      </c>
      <c r="D13" s="29" t="s">
        <v>2</v>
      </c>
      <c r="E13" s="29" t="s">
        <v>3</v>
      </c>
      <c r="F13" s="29" t="s">
        <v>4</v>
      </c>
      <c r="G13" s="29" t="s">
        <v>5</v>
      </c>
      <c r="H13" s="29" t="s">
        <v>6</v>
      </c>
      <c r="I13" s="29" t="s">
        <v>7</v>
      </c>
      <c r="J13" s="29" t="s">
        <v>8</v>
      </c>
      <c r="K13" s="29" t="s">
        <v>9</v>
      </c>
      <c r="L13" s="29" t="s">
        <v>10</v>
      </c>
      <c r="M13" s="29" t="s">
        <v>11</v>
      </c>
    </row>
    <row r="14" spans="1:37">
      <c r="A14" s="4"/>
      <c r="B14" s="30">
        <v>0.1</v>
      </c>
      <c r="C14" s="13">
        <v>6.1</v>
      </c>
      <c r="D14" s="13">
        <v>5.6</v>
      </c>
      <c r="E14" s="13">
        <v>5.3</v>
      </c>
      <c r="F14" s="13">
        <v>5.0999999999999996</v>
      </c>
      <c r="G14" s="13">
        <v>5.9</v>
      </c>
      <c r="H14" s="13">
        <v>5.4</v>
      </c>
      <c r="I14" s="13">
        <v>4.9000000000000004</v>
      </c>
      <c r="J14" s="13">
        <v>7.2</v>
      </c>
      <c r="K14" s="13">
        <v>6.3</v>
      </c>
      <c r="L14" s="13">
        <v>6.4</v>
      </c>
      <c r="M14" s="13">
        <f>AVERAGE(C14:L14)</f>
        <v>5.8199999999999994</v>
      </c>
    </row>
    <row r="15" spans="1:37">
      <c r="A15" s="4"/>
      <c r="B15" s="30">
        <v>0.2</v>
      </c>
      <c r="C15" s="13">
        <v>5.2</v>
      </c>
      <c r="D15" s="13">
        <v>4.0999999999999996</v>
      </c>
      <c r="E15" s="13">
        <v>4</v>
      </c>
      <c r="F15" s="13">
        <v>4</v>
      </c>
      <c r="G15" s="13">
        <v>3.6</v>
      </c>
      <c r="H15" s="13">
        <v>3.6</v>
      </c>
      <c r="I15" s="13">
        <v>4.8</v>
      </c>
      <c r="J15" s="13">
        <v>4.5</v>
      </c>
      <c r="K15" s="13">
        <v>4.2</v>
      </c>
      <c r="L15" s="13">
        <v>4.3</v>
      </c>
      <c r="M15" s="13">
        <f>AVERAGE(C15:L15)</f>
        <v>4.2300000000000004</v>
      </c>
    </row>
    <row r="16" spans="1:37">
      <c r="A16" s="4"/>
      <c r="B16" s="30">
        <v>0.3</v>
      </c>
      <c r="C16" s="13">
        <v>8.1999999999999993</v>
      </c>
      <c r="D16" s="13">
        <v>8</v>
      </c>
      <c r="E16" s="13">
        <v>6.8</v>
      </c>
      <c r="F16" s="13">
        <v>7.3</v>
      </c>
      <c r="G16" s="13">
        <v>6.5</v>
      </c>
      <c r="H16" s="13">
        <v>6.1</v>
      </c>
      <c r="I16" s="13">
        <v>7.8</v>
      </c>
      <c r="J16" s="13">
        <v>7.6</v>
      </c>
      <c r="K16" s="13">
        <v>7.2</v>
      </c>
      <c r="L16" s="13">
        <v>7.4</v>
      </c>
      <c r="M16" s="13">
        <f>AVERAGE(C16:L16)</f>
        <v>7.2900000000000009</v>
      </c>
    </row>
    <row r="17" spans="1:13">
      <c r="A17" s="4"/>
      <c r="B17" s="30">
        <v>0.5</v>
      </c>
      <c r="C17" s="13">
        <v>8.3000000000000007</v>
      </c>
      <c r="D17" s="13">
        <v>5.9</v>
      </c>
      <c r="E17" s="13">
        <v>6.7</v>
      </c>
      <c r="F17" s="13">
        <v>7.2</v>
      </c>
      <c r="G17" s="13">
        <v>5.7</v>
      </c>
      <c r="H17" s="13">
        <v>5.8</v>
      </c>
      <c r="I17" s="13">
        <v>5.0999999999999996</v>
      </c>
      <c r="J17" s="13">
        <v>6.6</v>
      </c>
      <c r="K17" s="13">
        <v>6.8</v>
      </c>
      <c r="L17" s="13">
        <v>6.9</v>
      </c>
      <c r="M17" s="13">
        <f>AVERAGE(C17:L17)</f>
        <v>6.5</v>
      </c>
    </row>
    <row r="18" spans="1:13" ht="4.5" customHeight="1"/>
    <row r="19" spans="1:13" ht="6" customHeight="1"/>
    <row r="20" spans="1:13" ht="14.25" customHeight="1">
      <c r="B20" s="3" t="s">
        <v>16</v>
      </c>
      <c r="C20" s="1" t="s">
        <v>12</v>
      </c>
      <c r="D20" s="1"/>
      <c r="E20" s="1" t="s">
        <v>14</v>
      </c>
      <c r="F20" s="1"/>
      <c r="G20" s="1" t="s">
        <v>15</v>
      </c>
      <c r="H20" s="1"/>
    </row>
    <row r="21" spans="1:13">
      <c r="B21" s="3"/>
      <c r="C21" s="32" t="s">
        <v>11</v>
      </c>
      <c r="D21" s="32" t="s">
        <v>17</v>
      </c>
      <c r="E21" s="32" t="s">
        <v>11</v>
      </c>
      <c r="F21" s="32" t="s">
        <v>17</v>
      </c>
      <c r="G21" s="32" t="s">
        <v>11</v>
      </c>
      <c r="H21" s="32" t="s">
        <v>17</v>
      </c>
    </row>
    <row r="22" spans="1:13">
      <c r="B22" s="30">
        <v>0.1</v>
      </c>
      <c r="C22" s="19">
        <f>AVERAGE(C2:L2)</f>
        <v>2.34</v>
      </c>
      <c r="D22" s="19">
        <f>ROUND(_xlfn.STDEV.S(C2:L2),2)</f>
        <v>0.47</v>
      </c>
      <c r="E22" s="19">
        <f>AVERAGE(C8:L8)</f>
        <v>5.2700000000000005</v>
      </c>
      <c r="F22" s="19">
        <f>ROUND(_xlfn.STDEV.S(C8:L8),2)</f>
        <v>0.64</v>
      </c>
      <c r="G22" s="19">
        <f>AVERAGE(C14:L14)</f>
        <v>5.8199999999999994</v>
      </c>
      <c r="H22" s="19">
        <f>ROUND(_xlfn.STDEV.S(C14:L14),2)</f>
        <v>0.7</v>
      </c>
    </row>
    <row r="23" spans="1:13">
      <c r="B23" s="30">
        <v>0.2</v>
      </c>
      <c r="C23" s="19">
        <f>AVERAGE(C3:L3)</f>
        <v>1.9300000000000002</v>
      </c>
      <c r="D23" s="19">
        <f>ROUND(_xlfn.STDEV.S(C3:L3),2)</f>
        <v>0.19</v>
      </c>
      <c r="E23" s="19">
        <f>AVERAGE(C9:L9)</f>
        <v>3.85</v>
      </c>
      <c r="F23" s="19">
        <f>ROUND(_xlfn.STDEV.S(C9:L9),2)</f>
        <v>0.52</v>
      </c>
      <c r="G23" s="19">
        <f>AVERAGE(C15:L15)</f>
        <v>4.2300000000000004</v>
      </c>
      <c r="H23" s="19">
        <f>ROUND(_xlfn.STDEV.S(C15:L15),2)</f>
        <v>0.5</v>
      </c>
    </row>
    <row r="24" spans="1:13">
      <c r="B24" s="30">
        <v>0.3</v>
      </c>
      <c r="C24" s="19">
        <f>AVERAGE(C4:L4)</f>
        <v>2.02</v>
      </c>
      <c r="D24" s="19">
        <f>ROUND(_xlfn.STDEV.S(C4:L4),2)</f>
        <v>0.26</v>
      </c>
      <c r="E24" s="19">
        <f>AVERAGE(C10:L10)</f>
        <v>5.99</v>
      </c>
      <c r="F24" s="19">
        <f>ROUND(_xlfn.STDEV.S(C10:L10),2)</f>
        <v>0.42</v>
      </c>
      <c r="G24" s="19">
        <f>AVERAGE(C16:L16)</f>
        <v>7.2900000000000009</v>
      </c>
      <c r="H24" s="19">
        <f>ROUND(_xlfn.STDEV.S(C16:L16),2)</f>
        <v>0.67</v>
      </c>
    </row>
    <row r="25" spans="1:13">
      <c r="B25" s="30">
        <v>0.5</v>
      </c>
      <c r="C25" s="19">
        <f>AVERAGE(C5:L5)</f>
        <v>2.34</v>
      </c>
      <c r="D25" s="19">
        <f>ROUND(_xlfn.STDEV.S(C5:L5),2)</f>
        <v>0.73</v>
      </c>
      <c r="E25" s="19">
        <f>AVERAGE(C11:L11)</f>
        <v>6.13</v>
      </c>
      <c r="F25" s="19">
        <f>ROUND(_xlfn.STDEV.S(C11:L11),2)</f>
        <v>1.2</v>
      </c>
      <c r="G25" s="19">
        <f>AVERAGE(C17:L17)</f>
        <v>6.5</v>
      </c>
      <c r="H25" s="19">
        <f>ROUND(_xlfn.STDEV.S(C17:L17),2)</f>
        <v>0.91</v>
      </c>
    </row>
    <row r="26" spans="1:13">
      <c r="B26" s="19" t="s">
        <v>0</v>
      </c>
      <c r="C26" s="19">
        <f>'Control Onion'!E10</f>
        <v>2.13</v>
      </c>
      <c r="D26" s="19">
        <f>'Control Onion'!F10</f>
        <v>0.37</v>
      </c>
      <c r="E26" s="19">
        <f>'Control Onion'!G10</f>
        <v>4.13</v>
      </c>
      <c r="F26" s="19">
        <f>'Control Onion'!H10</f>
        <v>0.56999999999999995</v>
      </c>
      <c r="G26" s="19">
        <f>'Control Onion'!I10</f>
        <v>5.6100000000000012</v>
      </c>
      <c r="H26" s="19">
        <f>'Control Onion'!J10</f>
        <v>0.48</v>
      </c>
    </row>
  </sheetData>
  <mergeCells count="7">
    <mergeCell ref="E20:F20"/>
    <mergeCell ref="G20:H20"/>
    <mergeCell ref="A1:A5"/>
    <mergeCell ref="A7:A11"/>
    <mergeCell ref="A13:A17"/>
    <mergeCell ref="B20:B21"/>
    <mergeCell ref="C20:D2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6"/>
  <sheetViews>
    <sheetView topLeftCell="A12" zoomScale="98" zoomScaleNormal="98" workbookViewId="0">
      <selection activeCell="C26" sqref="C26"/>
    </sheetView>
  </sheetViews>
  <sheetFormatPr defaultColWidth="9" defaultRowHeight="14.4"/>
  <cols>
    <col min="2" max="2" width="13.109375" customWidth="1"/>
    <col min="3" max="39" width="9.6640625" customWidth="1"/>
  </cols>
  <sheetData>
    <row r="1" spans="1:37" ht="15" customHeight="1">
      <c r="A1" s="4" t="s">
        <v>12</v>
      </c>
      <c r="B1" s="29" t="s">
        <v>18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</row>
    <row r="2" spans="1:37" ht="15" customHeight="1">
      <c r="A2" s="4"/>
      <c r="B2" s="30">
        <v>0.1</v>
      </c>
      <c r="C2" s="13">
        <v>1.8</v>
      </c>
      <c r="D2" s="13">
        <v>1.8</v>
      </c>
      <c r="E2" s="13">
        <v>1.8</v>
      </c>
      <c r="F2" s="13">
        <v>1.7</v>
      </c>
      <c r="G2" s="13">
        <v>2.4</v>
      </c>
      <c r="H2" s="13">
        <v>1.8</v>
      </c>
      <c r="I2" s="13">
        <v>1.6</v>
      </c>
      <c r="J2" s="13">
        <v>1.5</v>
      </c>
      <c r="K2" s="13">
        <v>1.2</v>
      </c>
      <c r="L2" s="13">
        <v>1.5</v>
      </c>
      <c r="M2" s="13">
        <f>AVERAGE(C2:L2)</f>
        <v>1.7100000000000002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ht="15" customHeight="1">
      <c r="A3" s="4"/>
      <c r="B3" s="30">
        <v>0.2</v>
      </c>
      <c r="C3" s="13">
        <v>3.6</v>
      </c>
      <c r="D3" s="13">
        <v>2.8</v>
      </c>
      <c r="E3" s="13">
        <v>2.4</v>
      </c>
      <c r="F3" s="13">
        <v>1.8</v>
      </c>
      <c r="G3" s="13">
        <v>2.2999999999999998</v>
      </c>
      <c r="H3" s="13">
        <v>1.6</v>
      </c>
      <c r="I3" s="13">
        <v>1.5</v>
      </c>
      <c r="J3" s="13">
        <v>1.4</v>
      </c>
      <c r="K3" s="13">
        <v>1.2</v>
      </c>
      <c r="L3" s="13">
        <v>1.3</v>
      </c>
      <c r="M3" s="13">
        <f>AVERAGE(C3:L3)</f>
        <v>1.9899999999999998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ht="15" customHeight="1">
      <c r="A4" s="4"/>
      <c r="B4" s="30">
        <v>0.3</v>
      </c>
      <c r="C4" s="13">
        <v>2.4</v>
      </c>
      <c r="D4" s="13">
        <v>1.8</v>
      </c>
      <c r="E4" s="13">
        <v>2.2000000000000002</v>
      </c>
      <c r="F4" s="13">
        <v>2</v>
      </c>
      <c r="G4" s="13">
        <v>2</v>
      </c>
      <c r="H4" s="13">
        <v>1.7</v>
      </c>
      <c r="I4" s="13">
        <v>1.8</v>
      </c>
      <c r="J4" s="13">
        <v>1.7</v>
      </c>
      <c r="K4" s="13">
        <v>1.7</v>
      </c>
      <c r="L4" s="13">
        <v>1.9</v>
      </c>
      <c r="M4" s="13">
        <f>AVERAGE(C4:L4)</f>
        <v>1.92</v>
      </c>
    </row>
    <row r="5" spans="1:37" ht="15" customHeight="1">
      <c r="A5" s="4"/>
      <c r="B5" s="30">
        <v>0.5</v>
      </c>
      <c r="C5" s="13">
        <v>2</v>
      </c>
      <c r="D5" s="13">
        <v>2.1</v>
      </c>
      <c r="E5" s="13">
        <v>2.1</v>
      </c>
      <c r="F5" s="13">
        <v>2.5</v>
      </c>
      <c r="G5" s="13">
        <v>2.1</v>
      </c>
      <c r="H5" s="13">
        <v>1.9</v>
      </c>
      <c r="I5" s="13">
        <v>2.4</v>
      </c>
      <c r="J5" s="13">
        <v>1.7</v>
      </c>
      <c r="K5" s="13">
        <v>1.6</v>
      </c>
      <c r="L5" s="13">
        <v>1.7</v>
      </c>
      <c r="M5" s="13">
        <f>AVERAGE(C5:L5)</f>
        <v>2.0100000000000002</v>
      </c>
    </row>
    <row r="7" spans="1:37">
      <c r="A7" s="4" t="s">
        <v>14</v>
      </c>
      <c r="B7" s="29" t="s">
        <v>18</v>
      </c>
      <c r="C7" s="29" t="s">
        <v>1</v>
      </c>
      <c r="D7" s="29" t="s">
        <v>2</v>
      </c>
      <c r="E7" s="29" t="s">
        <v>3</v>
      </c>
      <c r="F7" s="29" t="s">
        <v>4</v>
      </c>
      <c r="G7" s="29" t="s">
        <v>5</v>
      </c>
      <c r="H7" s="29" t="s">
        <v>6</v>
      </c>
      <c r="I7" s="29" t="s">
        <v>7</v>
      </c>
      <c r="J7" s="29" t="s">
        <v>8</v>
      </c>
      <c r="K7" s="29" t="s">
        <v>9</v>
      </c>
      <c r="L7" s="29" t="s">
        <v>10</v>
      </c>
      <c r="M7" s="29" t="s">
        <v>11</v>
      </c>
    </row>
    <row r="8" spans="1:37">
      <c r="A8" s="4"/>
      <c r="B8" s="30">
        <v>0.1</v>
      </c>
      <c r="C8" s="13">
        <v>5.9</v>
      </c>
      <c r="D8" s="13">
        <v>5.8</v>
      </c>
      <c r="E8" s="13">
        <v>4.3</v>
      </c>
      <c r="F8" s="13">
        <v>5</v>
      </c>
      <c r="G8" s="13">
        <v>4.4000000000000004</v>
      </c>
      <c r="H8" s="13">
        <v>5.3</v>
      </c>
      <c r="I8" s="13">
        <v>3.3</v>
      </c>
      <c r="J8" s="13">
        <v>4.7</v>
      </c>
      <c r="K8" s="13">
        <v>5.7</v>
      </c>
      <c r="L8" s="13">
        <v>3.9</v>
      </c>
      <c r="M8" s="13">
        <f>AVERAGE(C8:L8)</f>
        <v>4.83</v>
      </c>
    </row>
    <row r="9" spans="1:37">
      <c r="A9" s="4"/>
      <c r="B9" s="30">
        <v>0.2</v>
      </c>
      <c r="C9" s="13">
        <v>5.0999999999999996</v>
      </c>
      <c r="D9" s="13">
        <v>4.5</v>
      </c>
      <c r="E9" s="13">
        <v>5.5</v>
      </c>
      <c r="F9" s="13">
        <v>4.5</v>
      </c>
      <c r="G9" s="13">
        <v>4.4000000000000004</v>
      </c>
      <c r="H9" s="13">
        <v>4</v>
      </c>
      <c r="I9" s="13">
        <v>3.6</v>
      </c>
      <c r="J9" s="13">
        <v>4.0999999999999996</v>
      </c>
      <c r="K9" s="13">
        <v>3.8</v>
      </c>
      <c r="L9" s="13">
        <v>4.5999999999999996</v>
      </c>
      <c r="M9" s="13">
        <f>AVERAGE(C9:L9)</f>
        <v>4.41</v>
      </c>
    </row>
    <row r="10" spans="1:37">
      <c r="A10" s="4"/>
      <c r="B10" s="30">
        <v>0.3</v>
      </c>
      <c r="C10" s="13">
        <v>5.6</v>
      </c>
      <c r="D10" s="13">
        <v>4.5999999999999996</v>
      </c>
      <c r="E10" s="13">
        <v>5.0999999999999996</v>
      </c>
      <c r="F10" s="13">
        <v>5.9</v>
      </c>
      <c r="G10" s="13">
        <v>5</v>
      </c>
      <c r="H10" s="13">
        <v>5</v>
      </c>
      <c r="I10" s="13">
        <v>4.9000000000000004</v>
      </c>
      <c r="J10" s="13">
        <v>5</v>
      </c>
      <c r="K10" s="13">
        <v>5.9</v>
      </c>
      <c r="L10" s="13">
        <v>5</v>
      </c>
      <c r="M10" s="13">
        <f>AVERAGE(C10:L10)</f>
        <v>5.2</v>
      </c>
    </row>
    <row r="11" spans="1:37">
      <c r="A11" s="4"/>
      <c r="B11" s="30">
        <v>0.5</v>
      </c>
      <c r="C11" s="13">
        <v>5</v>
      </c>
      <c r="D11" s="13">
        <v>4.9000000000000004</v>
      </c>
      <c r="E11" s="13">
        <v>4.3</v>
      </c>
      <c r="F11" s="13">
        <v>4.2</v>
      </c>
      <c r="G11" s="13">
        <v>4.3</v>
      </c>
      <c r="H11" s="13">
        <v>4.4000000000000004</v>
      </c>
      <c r="I11" s="13">
        <v>4.7</v>
      </c>
      <c r="J11" s="13">
        <v>5.2</v>
      </c>
      <c r="K11" s="13">
        <v>6.2</v>
      </c>
      <c r="L11" s="13">
        <v>4.5999999999999996</v>
      </c>
      <c r="M11" s="13">
        <f>AVERAGE(C11:L11)</f>
        <v>4.78</v>
      </c>
    </row>
    <row r="13" spans="1:37">
      <c r="A13" s="4" t="s">
        <v>15</v>
      </c>
      <c r="B13" s="29" t="s">
        <v>18</v>
      </c>
      <c r="C13" s="29" t="s">
        <v>1</v>
      </c>
      <c r="D13" s="29" t="s">
        <v>2</v>
      </c>
      <c r="E13" s="29" t="s">
        <v>3</v>
      </c>
      <c r="F13" s="29" t="s">
        <v>4</v>
      </c>
      <c r="G13" s="29" t="s">
        <v>5</v>
      </c>
      <c r="H13" s="29" t="s">
        <v>6</v>
      </c>
      <c r="I13" s="29" t="s">
        <v>7</v>
      </c>
      <c r="J13" s="29" t="s">
        <v>8</v>
      </c>
      <c r="K13" s="29" t="s">
        <v>9</v>
      </c>
      <c r="L13" s="29" t="s">
        <v>10</v>
      </c>
      <c r="M13" s="29" t="s">
        <v>11</v>
      </c>
    </row>
    <row r="14" spans="1:37">
      <c r="A14" s="4"/>
      <c r="B14" s="30">
        <v>0.1</v>
      </c>
      <c r="C14" s="13">
        <v>8</v>
      </c>
      <c r="D14" s="13">
        <v>4.3</v>
      </c>
      <c r="E14" s="13">
        <v>4.3</v>
      </c>
      <c r="F14" s="13">
        <v>7.9</v>
      </c>
      <c r="G14" s="13">
        <v>7.6</v>
      </c>
      <c r="H14" s="13">
        <v>6.5</v>
      </c>
      <c r="I14" s="13">
        <v>7.5</v>
      </c>
      <c r="J14" s="13">
        <v>7</v>
      </c>
      <c r="K14" s="13">
        <v>5.4</v>
      </c>
      <c r="L14" s="13">
        <v>5.7</v>
      </c>
      <c r="M14" s="13">
        <f>AVERAGE(C14:L14)</f>
        <v>6.42</v>
      </c>
    </row>
    <row r="15" spans="1:37">
      <c r="A15" s="4"/>
      <c r="B15" s="30">
        <v>0.2</v>
      </c>
      <c r="C15" s="13">
        <v>4</v>
      </c>
      <c r="D15" s="13">
        <v>3.5</v>
      </c>
      <c r="E15" s="13">
        <v>3.3</v>
      </c>
      <c r="F15" s="13">
        <v>4.5</v>
      </c>
      <c r="G15" s="13">
        <v>4</v>
      </c>
      <c r="H15" s="13">
        <v>3.4</v>
      </c>
      <c r="I15" s="13">
        <v>6.1</v>
      </c>
      <c r="J15" s="13">
        <v>5.0999999999999996</v>
      </c>
      <c r="K15" s="13">
        <v>5.4</v>
      </c>
      <c r="L15" s="13">
        <v>4.9000000000000004</v>
      </c>
      <c r="M15" s="13">
        <f>AVERAGE(C15:L15)</f>
        <v>4.42</v>
      </c>
    </row>
    <row r="16" spans="1:37">
      <c r="A16" s="4"/>
      <c r="B16" s="30">
        <v>0.3</v>
      </c>
      <c r="C16" s="13">
        <v>6.8</v>
      </c>
      <c r="D16" s="13">
        <v>8</v>
      </c>
      <c r="E16" s="13">
        <v>7.2</v>
      </c>
      <c r="F16" s="13">
        <v>6.8</v>
      </c>
      <c r="G16" s="13">
        <v>7.7</v>
      </c>
      <c r="H16" s="13">
        <v>6.6</v>
      </c>
      <c r="I16" s="13">
        <v>6.6</v>
      </c>
      <c r="J16" s="13">
        <v>7.3</v>
      </c>
      <c r="K16" s="13">
        <v>7.8</v>
      </c>
      <c r="L16" s="13">
        <v>7.8</v>
      </c>
      <c r="M16" s="13">
        <f>AVERAGE(C16:L16)</f>
        <v>7.26</v>
      </c>
    </row>
    <row r="17" spans="1:13">
      <c r="A17" s="4"/>
      <c r="B17" s="30">
        <v>0.5</v>
      </c>
      <c r="C17" s="13">
        <v>6.8</v>
      </c>
      <c r="D17" s="13">
        <v>6.1</v>
      </c>
      <c r="E17" s="13">
        <v>5.7</v>
      </c>
      <c r="F17" s="13">
        <v>6.5</v>
      </c>
      <c r="G17" s="13">
        <v>5.8</v>
      </c>
      <c r="H17" s="13">
        <v>8.3000000000000007</v>
      </c>
      <c r="I17" s="13">
        <v>6.5</v>
      </c>
      <c r="J17" s="13">
        <v>8.8000000000000007</v>
      </c>
      <c r="K17" s="13">
        <v>7.8</v>
      </c>
      <c r="L17" s="13">
        <v>7</v>
      </c>
      <c r="M17" s="13">
        <f>AVERAGE(C17:L17)</f>
        <v>6.93</v>
      </c>
    </row>
    <row r="18" spans="1:13" ht="5.25" customHeight="1"/>
    <row r="19" spans="1:13" ht="5.25" customHeight="1"/>
    <row r="20" spans="1:13" ht="14.25" customHeight="1">
      <c r="B20" s="3" t="s">
        <v>16</v>
      </c>
      <c r="C20" s="1" t="s">
        <v>12</v>
      </c>
      <c r="D20" s="1"/>
      <c r="E20" s="1" t="s">
        <v>14</v>
      </c>
      <c r="F20" s="1"/>
      <c r="G20" s="1" t="s">
        <v>15</v>
      </c>
      <c r="H20" s="1"/>
    </row>
    <row r="21" spans="1:13">
      <c r="B21" s="3"/>
      <c r="C21" s="32" t="s">
        <v>11</v>
      </c>
      <c r="D21" s="32" t="s">
        <v>17</v>
      </c>
      <c r="E21" s="32" t="s">
        <v>11</v>
      </c>
      <c r="F21" s="32" t="s">
        <v>17</v>
      </c>
      <c r="G21" s="32" t="s">
        <v>11</v>
      </c>
      <c r="H21" s="32" t="s">
        <v>17</v>
      </c>
    </row>
    <row r="22" spans="1:13">
      <c r="B22" s="30">
        <v>0.1</v>
      </c>
      <c r="C22" s="19">
        <f>AVERAGE(C2:L2)</f>
        <v>1.7100000000000002</v>
      </c>
      <c r="D22" s="19">
        <f>ROUND(_xlfn.STDEV.S(C2:L2),2)</f>
        <v>0.31</v>
      </c>
      <c r="E22" s="19">
        <f>AVERAGE(C8:L8)</f>
        <v>4.83</v>
      </c>
      <c r="F22" s="19">
        <f>ROUND(_xlfn.STDEV.S(C8:L8),2)</f>
        <v>0.87</v>
      </c>
      <c r="G22" s="19">
        <f>AVERAGE(C14:L14)</f>
        <v>6.42</v>
      </c>
      <c r="H22" s="19">
        <f>ROUND(_xlfn.STDEV.S(C14:L14),2)</f>
        <v>1.42</v>
      </c>
    </row>
    <row r="23" spans="1:13">
      <c r="B23" s="30">
        <v>0.2</v>
      </c>
      <c r="C23" s="19">
        <f>AVERAGE(C3:L3)</f>
        <v>1.9899999999999998</v>
      </c>
      <c r="D23" s="19">
        <f>ROUND(_xlfn.STDEV.S(C3:L3),2)</f>
        <v>0.77</v>
      </c>
      <c r="E23" s="19">
        <f>AVERAGE(C9:L9)</f>
        <v>4.41</v>
      </c>
      <c r="F23" s="19">
        <f>ROUND(_xlfn.STDEV.S(C9:L9),2)</f>
        <v>0.57999999999999996</v>
      </c>
      <c r="G23" s="19">
        <f>AVERAGE(C15:L15)</f>
        <v>4.42</v>
      </c>
      <c r="H23" s="19">
        <f>ROUND(_xlfn.STDEV.S(C15:L15),2)</f>
        <v>0.94</v>
      </c>
    </row>
    <row r="24" spans="1:13">
      <c r="B24" s="30">
        <v>0.3</v>
      </c>
      <c r="C24" s="19">
        <f>AVERAGE(C4:L4)</f>
        <v>1.92</v>
      </c>
      <c r="D24" s="19">
        <f>ROUND(_xlfn.STDEV.S(C4:L4),2)</f>
        <v>0.23</v>
      </c>
      <c r="E24" s="19">
        <f>AVERAGE(C10:L10)</f>
        <v>5.2</v>
      </c>
      <c r="F24" s="19">
        <f>ROUND(_xlfn.STDEV.S(C10:L10),2)</f>
        <v>0.44</v>
      </c>
      <c r="G24" s="19">
        <f>AVERAGE(C16:L16)</f>
        <v>7.26</v>
      </c>
      <c r="H24" s="19">
        <f>ROUND(_xlfn.STDEV.S(C16:L16),2)</f>
        <v>0.54</v>
      </c>
    </row>
    <row r="25" spans="1:13">
      <c r="B25" s="30">
        <v>0.5</v>
      </c>
      <c r="C25" s="19">
        <f>AVERAGE(C5:L5)</f>
        <v>2.0100000000000002</v>
      </c>
      <c r="D25" s="19">
        <f>ROUND(_xlfn.STDEV.S(C5:L5),2)</f>
        <v>0.3</v>
      </c>
      <c r="E25" s="19">
        <f>AVERAGE(C11:L11)</f>
        <v>4.78</v>
      </c>
      <c r="F25" s="19">
        <f>ROUND(_xlfn.STDEV.S(C11:L11),2)</f>
        <v>0.6</v>
      </c>
      <c r="G25" s="19">
        <f>AVERAGE(C17:L17)</f>
        <v>6.93</v>
      </c>
      <c r="H25" s="19">
        <f>ROUND(_xlfn.STDEV.S(C17:L17),2)</f>
        <v>1.05</v>
      </c>
    </row>
    <row r="26" spans="1:13">
      <c r="B26" s="19" t="s">
        <v>0</v>
      </c>
      <c r="C26" s="19">
        <f>'Control Onion'!E10</f>
        <v>2.13</v>
      </c>
      <c r="D26" s="19">
        <f>'Control Onion'!F10</f>
        <v>0.37</v>
      </c>
      <c r="E26" s="19">
        <f>'Control Onion'!G10</f>
        <v>4.13</v>
      </c>
      <c r="F26" s="19">
        <f>'Control Onion'!H10</f>
        <v>0.56999999999999995</v>
      </c>
      <c r="G26" s="19">
        <f>'Control Onion'!I10</f>
        <v>5.6100000000000012</v>
      </c>
      <c r="H26" s="19">
        <f>'Control Onion'!J10</f>
        <v>0.48</v>
      </c>
    </row>
  </sheetData>
  <mergeCells count="7">
    <mergeCell ref="E20:F20"/>
    <mergeCell ref="G20:H20"/>
    <mergeCell ref="A1:A5"/>
    <mergeCell ref="A7:A11"/>
    <mergeCell ref="A13:A17"/>
    <mergeCell ref="B20:B21"/>
    <mergeCell ref="C20:D2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8"/>
  <sheetViews>
    <sheetView zoomScale="99" zoomScaleNormal="99" workbookViewId="0">
      <selection activeCell="L18" sqref="L18"/>
    </sheetView>
  </sheetViews>
  <sheetFormatPr defaultColWidth="9" defaultRowHeight="14.4"/>
  <cols>
    <col min="2" max="2" width="13.109375" customWidth="1"/>
    <col min="3" max="3" width="9.6640625" customWidth="1"/>
    <col min="4" max="4" width="14.77734375" customWidth="1"/>
    <col min="5" max="39" width="9.6640625" customWidth="1"/>
  </cols>
  <sheetData>
    <row r="1" spans="1:37" ht="15" customHeight="1">
      <c r="A1" s="34"/>
      <c r="B1" s="29" t="s">
        <v>0</v>
      </c>
      <c r="C1" s="29" t="s">
        <v>19</v>
      </c>
      <c r="D1" s="29" t="s">
        <v>20</v>
      </c>
      <c r="E1" s="29" t="s">
        <v>21</v>
      </c>
      <c r="F1" s="29" t="s">
        <v>22</v>
      </c>
      <c r="G1" s="29" t="s">
        <v>23</v>
      </c>
      <c r="H1" s="29" t="s">
        <v>24</v>
      </c>
      <c r="I1" s="29" t="s">
        <v>25</v>
      </c>
      <c r="J1" s="29" t="s">
        <v>26</v>
      </c>
      <c r="K1" s="29" t="s">
        <v>27</v>
      </c>
      <c r="L1" s="29" t="s">
        <v>28</v>
      </c>
      <c r="M1" s="33" t="s">
        <v>11</v>
      </c>
      <c r="N1" s="35"/>
      <c r="O1" s="35"/>
      <c r="P1" s="35"/>
      <c r="Q1" s="35"/>
      <c r="R1" s="35"/>
      <c r="S1" s="35"/>
      <c r="T1" s="35"/>
      <c r="U1" s="35"/>
      <c r="V1" s="35"/>
      <c r="W1" s="36"/>
    </row>
    <row r="2" spans="1:37" ht="15" customHeight="1">
      <c r="A2" s="34" t="s">
        <v>12</v>
      </c>
      <c r="B2" s="30" t="s">
        <v>13</v>
      </c>
      <c r="C2" s="13">
        <v>7.3</v>
      </c>
      <c r="D2" s="13">
        <v>6.7</v>
      </c>
      <c r="E2" s="14">
        <v>2</v>
      </c>
      <c r="F2" s="13">
        <v>9.4</v>
      </c>
      <c r="G2" s="13">
        <v>8.9</v>
      </c>
      <c r="H2" s="13">
        <v>8.3000000000000007</v>
      </c>
      <c r="I2" s="13">
        <v>8.5</v>
      </c>
      <c r="J2" s="13">
        <v>9.8000000000000007</v>
      </c>
      <c r="K2" s="13"/>
      <c r="L2" s="15"/>
      <c r="M2" s="19">
        <f>AVERAGE(C2:L2)</f>
        <v>7.6124999999999989</v>
      </c>
      <c r="N2" s="37"/>
      <c r="O2" s="37"/>
      <c r="P2" s="37"/>
      <c r="Q2" s="37"/>
      <c r="R2" s="37"/>
      <c r="S2" s="37"/>
      <c r="T2" s="37"/>
      <c r="U2" s="37"/>
      <c r="V2" s="37"/>
      <c r="W2" s="31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ht="15" customHeight="1">
      <c r="A3" s="34" t="s">
        <v>14</v>
      </c>
      <c r="B3" s="30" t="s">
        <v>13</v>
      </c>
      <c r="C3" s="13">
        <v>15.5</v>
      </c>
      <c r="D3" s="13">
        <v>16.399999999999999</v>
      </c>
      <c r="E3" s="14">
        <v>15</v>
      </c>
      <c r="F3" s="13">
        <v>15.4</v>
      </c>
      <c r="G3" s="13">
        <v>15.8</v>
      </c>
      <c r="H3" s="13">
        <v>10.8</v>
      </c>
      <c r="I3" s="13">
        <v>2.2000000000000002</v>
      </c>
      <c r="J3" s="13">
        <v>5.5</v>
      </c>
      <c r="K3" s="13">
        <v>9.6</v>
      </c>
      <c r="L3" s="15"/>
      <c r="M3" s="19">
        <f>AVERAGE(C3:L3)</f>
        <v>11.799999999999999</v>
      </c>
      <c r="N3" s="37"/>
      <c r="O3" s="37"/>
      <c r="P3" s="37"/>
      <c r="Q3" s="37"/>
      <c r="R3" s="37"/>
      <c r="S3" s="37"/>
      <c r="T3" s="37"/>
      <c r="U3" s="37"/>
      <c r="V3" s="37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s="23" customFormat="1" ht="15" customHeight="1">
      <c r="A4" s="34" t="s">
        <v>15</v>
      </c>
      <c r="B4" s="30" t="s">
        <v>13</v>
      </c>
      <c r="C4" s="19">
        <v>17.5</v>
      </c>
      <c r="D4" s="19">
        <v>19.5</v>
      </c>
      <c r="E4" s="20">
        <v>21</v>
      </c>
      <c r="F4" s="21">
        <v>18.7</v>
      </c>
      <c r="G4" s="21">
        <v>17.899999999999999</v>
      </c>
      <c r="H4" s="21">
        <v>12</v>
      </c>
      <c r="I4" s="21">
        <v>16.5</v>
      </c>
      <c r="J4" s="21">
        <v>12.2</v>
      </c>
      <c r="K4" s="21">
        <v>14</v>
      </c>
      <c r="L4" s="22">
        <v>9.4</v>
      </c>
      <c r="M4" s="19">
        <f>AVERAGE(C4:L4)</f>
        <v>15.87</v>
      </c>
      <c r="N4" s="31"/>
      <c r="O4" s="31"/>
      <c r="P4" s="31"/>
      <c r="Q4" s="31"/>
      <c r="R4" s="31"/>
      <c r="S4" s="31"/>
      <c r="T4" s="31"/>
      <c r="U4" s="31"/>
      <c r="V4" s="31"/>
      <c r="W4" s="31"/>
    </row>
    <row r="5" spans="1:37" ht="15" customHeight="1"/>
    <row r="6" spans="1:37" ht="15" customHeight="1"/>
    <row r="8" spans="1:37" ht="13.5" customHeight="1">
      <c r="D8" s="3" t="s">
        <v>16</v>
      </c>
      <c r="E8" s="1" t="s">
        <v>12</v>
      </c>
      <c r="F8" s="1"/>
      <c r="G8" s="1" t="s">
        <v>14</v>
      </c>
      <c r="H8" s="1"/>
      <c r="I8" s="1" t="s">
        <v>15</v>
      </c>
      <c r="J8" s="1"/>
    </row>
    <row r="9" spans="1:37" ht="28.5" customHeight="1">
      <c r="D9" s="3"/>
      <c r="E9" s="32" t="s">
        <v>11</v>
      </c>
      <c r="F9" s="32" t="s">
        <v>17</v>
      </c>
      <c r="G9" s="32" t="s">
        <v>11</v>
      </c>
      <c r="H9" s="32" t="s">
        <v>17</v>
      </c>
      <c r="I9" s="32" t="s">
        <v>11</v>
      </c>
      <c r="J9" s="32" t="s">
        <v>17</v>
      </c>
    </row>
    <row r="10" spans="1:37" ht="27" customHeight="1">
      <c r="D10" s="13" t="s">
        <v>0</v>
      </c>
      <c r="E10" s="19">
        <f>AVERAGE(C2:L2)</f>
        <v>7.6124999999999989</v>
      </c>
      <c r="F10" s="19">
        <f>ROUND(_xlfn.STDEV.S(C2:L2),2)</f>
        <v>2.4900000000000002</v>
      </c>
      <c r="G10" s="19">
        <f>AVERAGE(C3:L3)</f>
        <v>11.799999999999999</v>
      </c>
      <c r="H10" s="13">
        <f>ROUND(_xlfn.STDEV.S(C3:L3),2)</f>
        <v>5.14</v>
      </c>
      <c r="I10" s="19">
        <f>AVERAGE(C4:L4)</f>
        <v>15.87</v>
      </c>
      <c r="J10" s="19">
        <f>ROUND(_xlfn.STDEV.S(C4:L4),2)</f>
        <v>3.78</v>
      </c>
    </row>
    <row r="15" spans="1:37">
      <c r="A15" s="23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1:37">
      <c r="A16" s="23"/>
      <c r="B16" s="38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  <row r="17" spans="1:13">
      <c r="A17" s="23"/>
      <c r="B17" s="38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</row>
    <row r="18" spans="1:13">
      <c r="A18" s="23"/>
      <c r="B18" s="23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</sheetData>
  <mergeCells count="4">
    <mergeCell ref="D8:D9"/>
    <mergeCell ref="E8:F8"/>
    <mergeCell ref="G8:H8"/>
    <mergeCell ref="I8:J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7"/>
  <sheetViews>
    <sheetView tabSelected="1" zoomScale="87" zoomScaleNormal="87" workbookViewId="0">
      <selection activeCell="T14" sqref="T14"/>
    </sheetView>
  </sheetViews>
  <sheetFormatPr defaultColWidth="9" defaultRowHeight="14.4"/>
  <cols>
    <col min="2" max="2" width="13.109375" customWidth="1"/>
    <col min="3" max="39" width="9.6640625" customWidth="1"/>
  </cols>
  <sheetData>
    <row r="1" spans="1:37" ht="15" customHeight="1">
      <c r="A1" s="4" t="s">
        <v>12</v>
      </c>
      <c r="B1" s="29" t="s">
        <v>18</v>
      </c>
      <c r="C1" s="29" t="s">
        <v>29</v>
      </c>
      <c r="D1" s="29" t="s">
        <v>30</v>
      </c>
      <c r="E1" s="29" t="s">
        <v>31</v>
      </c>
      <c r="F1" s="29" t="s">
        <v>32</v>
      </c>
      <c r="G1" s="29" t="s">
        <v>33</v>
      </c>
      <c r="H1" s="32" t="s">
        <v>11</v>
      </c>
    </row>
    <row r="2" spans="1:37" ht="15" customHeight="1">
      <c r="A2" s="4"/>
      <c r="B2" s="30">
        <v>0.1</v>
      </c>
      <c r="C2" s="13">
        <v>10.199999999999999</v>
      </c>
      <c r="D2" s="13">
        <v>10.5</v>
      </c>
      <c r="E2" s="13">
        <v>11.3</v>
      </c>
      <c r="F2" s="13">
        <v>10.1</v>
      </c>
      <c r="G2" s="13">
        <v>10.1</v>
      </c>
      <c r="H2" s="19">
        <f>AVERAGE(C2:G2)</f>
        <v>10.440000000000001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ht="15" customHeight="1">
      <c r="A3" s="4"/>
      <c r="B3" s="30">
        <v>0.2</v>
      </c>
      <c r="C3" s="13">
        <v>11.5</v>
      </c>
      <c r="D3" s="13">
        <v>10.4</v>
      </c>
      <c r="E3" s="13">
        <v>9.5</v>
      </c>
      <c r="F3" s="13">
        <v>9.8000000000000007</v>
      </c>
      <c r="G3" s="13">
        <v>9.4</v>
      </c>
      <c r="H3" s="19">
        <f>AVERAGE(C3:G3)</f>
        <v>10.120000000000001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ht="15" customHeight="1">
      <c r="A4" s="4"/>
      <c r="B4" s="30">
        <v>0.3</v>
      </c>
      <c r="C4" s="13">
        <v>7.8</v>
      </c>
      <c r="D4" s="13">
        <v>7.7</v>
      </c>
      <c r="E4" s="13">
        <v>7.4</v>
      </c>
      <c r="F4" s="13">
        <v>10.6</v>
      </c>
      <c r="G4" s="13">
        <v>7.8</v>
      </c>
      <c r="H4" s="19">
        <f>AVERAGE(C4:G4)</f>
        <v>8.26</v>
      </c>
    </row>
    <row r="5" spans="1:37" ht="15" customHeight="1">
      <c r="A5" s="4"/>
      <c r="B5" s="30">
        <v>0.5</v>
      </c>
      <c r="C5" s="13">
        <v>2.7</v>
      </c>
      <c r="D5" s="13">
        <v>3.4</v>
      </c>
      <c r="E5" s="13">
        <v>8.8000000000000007</v>
      </c>
      <c r="F5" s="13"/>
      <c r="G5" s="13"/>
      <c r="H5" s="19">
        <f>ROUND(AVERAGE(C5:G5),2)</f>
        <v>4.97</v>
      </c>
    </row>
    <row r="7" spans="1:37">
      <c r="A7" s="4" t="s">
        <v>14</v>
      </c>
      <c r="B7" s="29" t="s">
        <v>18</v>
      </c>
      <c r="C7" s="29" t="s">
        <v>29</v>
      </c>
      <c r="D7" s="29" t="s">
        <v>30</v>
      </c>
      <c r="E7" s="29" t="s">
        <v>31</v>
      </c>
      <c r="F7" s="29" t="s">
        <v>32</v>
      </c>
      <c r="G7" s="29" t="s">
        <v>33</v>
      </c>
      <c r="H7" s="32" t="s">
        <v>11</v>
      </c>
    </row>
    <row r="8" spans="1:37">
      <c r="A8" s="4"/>
      <c r="B8" s="30">
        <v>0.1</v>
      </c>
      <c r="C8" s="13">
        <v>20</v>
      </c>
      <c r="D8" s="13">
        <v>17</v>
      </c>
      <c r="E8" s="13">
        <v>17</v>
      </c>
      <c r="F8" s="13">
        <v>16.8</v>
      </c>
      <c r="G8" s="13">
        <v>16.7</v>
      </c>
      <c r="H8" s="19">
        <f>AVERAGE(C8:G8)</f>
        <v>17.5</v>
      </c>
    </row>
    <row r="9" spans="1:37">
      <c r="A9" s="4"/>
      <c r="B9" s="30">
        <v>0.2</v>
      </c>
      <c r="C9" s="13">
        <v>16</v>
      </c>
      <c r="D9" s="13">
        <v>17</v>
      </c>
      <c r="E9" s="13">
        <v>17.5</v>
      </c>
      <c r="F9" s="13">
        <v>15.5</v>
      </c>
      <c r="G9" s="13">
        <v>15.5</v>
      </c>
      <c r="H9" s="19">
        <f>AVERAGE(C9:G9)</f>
        <v>16.3</v>
      </c>
    </row>
    <row r="10" spans="1:37">
      <c r="A10" s="4"/>
      <c r="B10" s="30">
        <v>0.3</v>
      </c>
      <c r="C10" s="13">
        <v>12.2</v>
      </c>
      <c r="D10" s="13">
        <v>10</v>
      </c>
      <c r="E10" s="13">
        <v>9.5</v>
      </c>
      <c r="F10" s="13">
        <v>10.1</v>
      </c>
      <c r="G10" s="13">
        <v>9.1999999999999993</v>
      </c>
      <c r="H10" s="19">
        <f>AVERAGE(C10:G10)</f>
        <v>10.199999999999999</v>
      </c>
    </row>
    <row r="11" spans="1:37">
      <c r="A11" s="4"/>
      <c r="B11" s="30">
        <v>0.5</v>
      </c>
      <c r="C11" s="13">
        <v>5</v>
      </c>
      <c r="D11" s="13">
        <v>6.8</v>
      </c>
      <c r="E11" s="13">
        <v>11.3</v>
      </c>
      <c r="F11" s="13">
        <v>5.3</v>
      </c>
      <c r="G11" s="13"/>
      <c r="H11" s="19">
        <f>AVERAGE(C11:G11)</f>
        <v>7.1000000000000005</v>
      </c>
    </row>
    <row r="13" spans="1:37">
      <c r="A13" s="4" t="s">
        <v>15</v>
      </c>
      <c r="B13" s="29" t="s">
        <v>18</v>
      </c>
      <c r="C13" s="29" t="s">
        <v>29</v>
      </c>
      <c r="D13" s="29" t="s">
        <v>30</v>
      </c>
      <c r="E13" s="29" t="s">
        <v>31</v>
      </c>
      <c r="F13" s="29" t="s">
        <v>32</v>
      </c>
      <c r="G13" s="29" t="s">
        <v>33</v>
      </c>
      <c r="H13" s="32" t="s">
        <v>11</v>
      </c>
    </row>
    <row r="14" spans="1:37">
      <c r="A14" s="4"/>
      <c r="B14" s="30">
        <v>0.1</v>
      </c>
      <c r="C14" s="13">
        <v>18.5</v>
      </c>
      <c r="D14" s="13">
        <v>21.5</v>
      </c>
      <c r="E14" s="13">
        <v>19.5</v>
      </c>
      <c r="F14" s="13">
        <v>18.5</v>
      </c>
      <c r="G14" s="13">
        <v>23.5</v>
      </c>
      <c r="H14" s="19">
        <f>AVERAGE(C14:G14)</f>
        <v>20.3</v>
      </c>
    </row>
    <row r="15" spans="1:37">
      <c r="A15" s="4"/>
      <c r="B15" s="30">
        <v>0.2</v>
      </c>
      <c r="C15" s="13">
        <v>19.5</v>
      </c>
      <c r="D15" s="13">
        <v>22</v>
      </c>
      <c r="E15" s="13">
        <v>23.3</v>
      </c>
      <c r="F15" s="13">
        <v>16.899999999999999</v>
      </c>
      <c r="G15" s="13">
        <v>17.5</v>
      </c>
      <c r="H15" s="19">
        <f>AVERAGE(C15:G15)</f>
        <v>19.839999999999996</v>
      </c>
    </row>
    <row r="16" spans="1:37">
      <c r="A16" s="4"/>
      <c r="B16" s="30">
        <v>0.3</v>
      </c>
      <c r="C16" s="13">
        <v>13</v>
      </c>
      <c r="D16" s="13">
        <v>14.5</v>
      </c>
      <c r="E16" s="13">
        <v>15</v>
      </c>
      <c r="F16" s="13">
        <v>17.5</v>
      </c>
      <c r="G16" s="13">
        <v>14.5</v>
      </c>
      <c r="H16" s="19">
        <f>AVERAGE(C16:G16)</f>
        <v>14.9</v>
      </c>
    </row>
    <row r="17" spans="1:8">
      <c r="A17" s="4"/>
      <c r="B17" s="30">
        <v>0.5</v>
      </c>
      <c r="C17" s="13">
        <v>12.3</v>
      </c>
      <c r="D17" s="13">
        <v>10.5</v>
      </c>
      <c r="E17" s="13">
        <v>11.7</v>
      </c>
      <c r="F17" s="13">
        <v>15.5</v>
      </c>
      <c r="G17" s="13">
        <v>12</v>
      </c>
      <c r="H17" s="19">
        <f>AVERAGE(C17:G17)</f>
        <v>12.4</v>
      </c>
    </row>
    <row r="21" spans="1:8" ht="14.25" customHeight="1">
      <c r="B21" s="3" t="s">
        <v>16</v>
      </c>
      <c r="C21" s="1" t="s">
        <v>12</v>
      </c>
      <c r="D21" s="1"/>
      <c r="E21" s="1" t="s">
        <v>14</v>
      </c>
      <c r="F21" s="1"/>
      <c r="G21" s="1" t="s">
        <v>15</v>
      </c>
      <c r="H21" s="1"/>
    </row>
    <row r="22" spans="1:8">
      <c r="B22" s="3"/>
      <c r="C22" s="32" t="s">
        <v>11</v>
      </c>
      <c r="D22" s="32" t="s">
        <v>17</v>
      </c>
      <c r="E22" s="32" t="s">
        <v>11</v>
      </c>
      <c r="F22" s="32" t="s">
        <v>17</v>
      </c>
      <c r="G22" s="32" t="s">
        <v>11</v>
      </c>
      <c r="H22" s="32" t="s">
        <v>17</v>
      </c>
    </row>
    <row r="23" spans="1:8">
      <c r="B23" s="30">
        <v>0.1</v>
      </c>
      <c r="C23" s="19">
        <f>ROUND(AVERAGE(C2:H2),2)</f>
        <v>10.44</v>
      </c>
      <c r="D23" s="19">
        <f>ROUND(_xlfn.STDEV.S(C2:G2),2)</f>
        <v>0.51</v>
      </c>
      <c r="E23" s="19">
        <f>AVERAGE(C8:G8)</f>
        <v>17.5</v>
      </c>
      <c r="F23" s="19">
        <f>ROUND(_xlfn.STDEV.S(C8:G8),2)</f>
        <v>1.4</v>
      </c>
      <c r="G23" s="19">
        <f>AVERAGE(C14:G14)</f>
        <v>20.3</v>
      </c>
      <c r="H23" s="19">
        <f>ROUND(_xlfn.STDEV.S(C14:G14),2)</f>
        <v>2.17</v>
      </c>
    </row>
    <row r="24" spans="1:8">
      <c r="B24" s="30">
        <v>0.2</v>
      </c>
      <c r="C24" s="19">
        <f>ROUND(AVERAGE(C3:H3),2)</f>
        <v>10.119999999999999</v>
      </c>
      <c r="D24" s="19">
        <f>ROUND(_xlfn.STDEV.S(C3:G3),2)</f>
        <v>0.86</v>
      </c>
      <c r="E24" s="19">
        <f>AVERAGE(C9:G9)</f>
        <v>16.3</v>
      </c>
      <c r="F24" s="19">
        <f>ROUND(_xlfn.STDEV.S(C9:G9),2)</f>
        <v>0.91</v>
      </c>
      <c r="G24" s="19">
        <f>AVERAGE(C15:G15)</f>
        <v>19.839999999999996</v>
      </c>
      <c r="H24" s="19">
        <f>ROUND(_xlfn.STDEV.S(C15:G15),2)</f>
        <v>2.78</v>
      </c>
    </row>
    <row r="25" spans="1:8">
      <c r="B25" s="30">
        <v>0.3</v>
      </c>
      <c r="C25" s="19">
        <f>ROUND(AVERAGE(C4:H4),2)</f>
        <v>8.26</v>
      </c>
      <c r="D25" s="19">
        <f>ROUND(_xlfn.STDEV.S(C4:G4),2)</f>
        <v>1.32</v>
      </c>
      <c r="E25" s="19">
        <f>AVERAGE(C10:G10)</f>
        <v>10.199999999999999</v>
      </c>
      <c r="F25" s="19">
        <f>ROUND(_xlfn.STDEV.S(C10:G10),2)</f>
        <v>1.18</v>
      </c>
      <c r="G25" s="19">
        <f>AVERAGE(C16:G16)</f>
        <v>14.9</v>
      </c>
      <c r="H25" s="19">
        <f>ROUND(_xlfn.STDEV.S(C16:G16),2)</f>
        <v>1.64</v>
      </c>
    </row>
    <row r="26" spans="1:8">
      <c r="B26" s="30">
        <v>0.5</v>
      </c>
      <c r="C26" s="19">
        <f>ROUND(AVERAGE(C5:H5),2)</f>
        <v>4.97</v>
      </c>
      <c r="D26" s="19">
        <f>ROUND(_xlfn.STDEV.S(C5:G5),2)</f>
        <v>3.34</v>
      </c>
      <c r="E26" s="19">
        <f>AVERAGE(C11:G11)</f>
        <v>7.1000000000000005</v>
      </c>
      <c r="F26" s="19">
        <f>ROUND(_xlfn.STDEV.S(C11:G11),2)</f>
        <v>2.91</v>
      </c>
      <c r="G26" s="19">
        <f>AVERAGE(C17:G17)</f>
        <v>12.4</v>
      </c>
      <c r="H26" s="19">
        <f>ROUND(_xlfn.STDEV.S(C17:G17),2)</f>
        <v>1.86</v>
      </c>
    </row>
    <row r="27" spans="1:8">
      <c r="B27" s="19" t="s">
        <v>0</v>
      </c>
      <c r="C27" s="19">
        <f>'Control Pea Shoot'!E10</f>
        <v>7.6124999999999989</v>
      </c>
      <c r="D27" s="19">
        <f>'Control Pea Shoot'!F10</f>
        <v>2.4900000000000002</v>
      </c>
      <c r="E27" s="19">
        <f>'Control Pea Shoot'!G10</f>
        <v>11.799999999999999</v>
      </c>
      <c r="F27" s="19">
        <f>'Control Pea Shoot'!H10</f>
        <v>5.14</v>
      </c>
      <c r="G27" s="19">
        <f>'Control Pea Shoot'!I10</f>
        <v>15.87</v>
      </c>
      <c r="H27" s="19">
        <f>'Control Pea Shoot'!J10</f>
        <v>3.78</v>
      </c>
    </row>
  </sheetData>
  <mergeCells count="7">
    <mergeCell ref="E21:F21"/>
    <mergeCell ref="G21:H21"/>
    <mergeCell ref="A1:A5"/>
    <mergeCell ref="A7:A11"/>
    <mergeCell ref="A13:A17"/>
    <mergeCell ref="B21:B22"/>
    <mergeCell ref="C21:D2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27"/>
  <sheetViews>
    <sheetView topLeftCell="B7" zoomScale="87" zoomScaleNormal="87" workbookViewId="0">
      <selection activeCell="I17" sqref="I17"/>
    </sheetView>
  </sheetViews>
  <sheetFormatPr defaultColWidth="9" defaultRowHeight="14.4"/>
  <cols>
    <col min="2" max="2" width="13.109375" customWidth="1"/>
    <col min="3" max="39" width="9.6640625" customWidth="1"/>
  </cols>
  <sheetData>
    <row r="1" spans="1:37" ht="15" customHeight="1">
      <c r="A1" s="4" t="s">
        <v>12</v>
      </c>
      <c r="B1" s="29" t="s">
        <v>18</v>
      </c>
      <c r="C1" s="29" t="s">
        <v>29</v>
      </c>
      <c r="D1" s="29" t="s">
        <v>30</v>
      </c>
      <c r="E1" s="29" t="s">
        <v>31</v>
      </c>
      <c r="F1" s="29" t="s">
        <v>32</v>
      </c>
      <c r="G1" s="29" t="s">
        <v>33</v>
      </c>
      <c r="H1" s="32" t="s">
        <v>11</v>
      </c>
    </row>
    <row r="2" spans="1:37" ht="15" customHeight="1">
      <c r="A2" s="4"/>
      <c r="B2" s="30">
        <v>0.1</v>
      </c>
      <c r="C2" s="13">
        <v>11.8</v>
      </c>
      <c r="D2" s="13">
        <v>10.5</v>
      </c>
      <c r="E2" s="13">
        <v>9.8000000000000007</v>
      </c>
      <c r="F2" s="13">
        <v>9.1999999999999993</v>
      </c>
      <c r="G2" s="13">
        <v>11.2</v>
      </c>
      <c r="H2" s="19">
        <f>AVERAGE(C2:G2)</f>
        <v>10.5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ht="15" customHeight="1">
      <c r="A3" s="4"/>
      <c r="B3" s="30">
        <v>0.2</v>
      </c>
      <c r="C3" s="13">
        <v>11.2</v>
      </c>
      <c r="D3" s="13">
        <v>11.7</v>
      </c>
      <c r="E3" s="13">
        <v>10.9</v>
      </c>
      <c r="F3" s="13">
        <v>9.4</v>
      </c>
      <c r="G3" s="13">
        <v>9.9</v>
      </c>
      <c r="H3" s="19">
        <f>AVERAGE(C3:G3)</f>
        <v>10.62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ht="15" customHeight="1">
      <c r="A4" s="4"/>
      <c r="B4" s="30">
        <v>0.3</v>
      </c>
      <c r="C4" s="13">
        <v>5.5</v>
      </c>
      <c r="D4" s="13">
        <v>5.8</v>
      </c>
      <c r="E4" s="13">
        <v>5.7</v>
      </c>
      <c r="F4" s="13">
        <v>8.4</v>
      </c>
      <c r="G4" s="13">
        <v>7</v>
      </c>
      <c r="H4" s="19">
        <f>AVERAGE(C4:G4)</f>
        <v>6.4799999999999995</v>
      </c>
    </row>
    <row r="5" spans="1:37" ht="15" customHeight="1">
      <c r="A5" s="4"/>
      <c r="B5" s="30">
        <v>0.5</v>
      </c>
      <c r="C5" s="13">
        <v>4</v>
      </c>
      <c r="D5" s="13">
        <v>2.6</v>
      </c>
      <c r="E5" s="13">
        <v>2.8</v>
      </c>
      <c r="F5" s="13">
        <v>2.6</v>
      </c>
      <c r="G5" s="13"/>
      <c r="H5" s="19">
        <f>ROUND(AVERAGE(C5:G5),2)</f>
        <v>3</v>
      </c>
    </row>
    <row r="7" spans="1:37">
      <c r="A7" s="4" t="s">
        <v>14</v>
      </c>
      <c r="B7" s="29" t="s">
        <v>18</v>
      </c>
      <c r="C7" s="29" t="s">
        <v>29</v>
      </c>
      <c r="D7" s="29" t="s">
        <v>30</v>
      </c>
      <c r="E7" s="29" t="s">
        <v>31</v>
      </c>
      <c r="F7" s="29" t="s">
        <v>32</v>
      </c>
      <c r="G7" s="29" t="s">
        <v>33</v>
      </c>
      <c r="H7" s="32" t="s">
        <v>11</v>
      </c>
    </row>
    <row r="8" spans="1:37">
      <c r="A8" s="4"/>
      <c r="B8" s="30">
        <v>0.1</v>
      </c>
      <c r="C8" s="13">
        <v>16.5</v>
      </c>
      <c r="D8" s="13">
        <v>15.8</v>
      </c>
      <c r="E8" s="13">
        <v>18</v>
      </c>
      <c r="F8" s="13">
        <v>16.5</v>
      </c>
      <c r="G8" s="13">
        <v>17</v>
      </c>
      <c r="H8" s="19">
        <f>AVERAGE(C8:G8)</f>
        <v>16.759999999999998</v>
      </c>
    </row>
    <row r="9" spans="1:37">
      <c r="A9" s="4"/>
      <c r="B9" s="30">
        <v>0.2</v>
      </c>
      <c r="C9" s="13">
        <v>16</v>
      </c>
      <c r="D9" s="13">
        <v>17.3</v>
      </c>
      <c r="E9" s="13">
        <v>17</v>
      </c>
      <c r="F9" s="13">
        <v>18.3</v>
      </c>
      <c r="G9" s="13">
        <v>16.5</v>
      </c>
      <c r="H9" s="19">
        <f>AVERAGE(C9:G9)</f>
        <v>17.02</v>
      </c>
    </row>
    <row r="10" spans="1:37">
      <c r="A10" s="4"/>
      <c r="B10" s="30">
        <v>0.3</v>
      </c>
      <c r="C10" s="13">
        <v>7.1</v>
      </c>
      <c r="D10" s="13">
        <v>8.5</v>
      </c>
      <c r="E10" s="13">
        <v>8.8000000000000007</v>
      </c>
      <c r="F10" s="13">
        <v>11.8</v>
      </c>
      <c r="G10" s="13">
        <v>9.5</v>
      </c>
      <c r="H10" s="19">
        <f>AVERAGE(C10:G10)</f>
        <v>9.14</v>
      </c>
    </row>
    <row r="11" spans="1:37">
      <c r="A11" s="4"/>
      <c r="B11" s="30">
        <v>0.5</v>
      </c>
      <c r="C11" s="13">
        <v>7.1</v>
      </c>
      <c r="D11" s="13">
        <v>5.3</v>
      </c>
      <c r="E11" s="13">
        <v>5.3</v>
      </c>
      <c r="F11" s="13">
        <v>6.2</v>
      </c>
      <c r="G11" s="13">
        <v>6.8</v>
      </c>
      <c r="H11" s="19">
        <f>AVERAGE(C11:G11)</f>
        <v>6.14</v>
      </c>
    </row>
    <row r="13" spans="1:37">
      <c r="A13" s="4" t="s">
        <v>15</v>
      </c>
      <c r="B13" s="29" t="s">
        <v>18</v>
      </c>
      <c r="C13" s="29" t="s">
        <v>29</v>
      </c>
      <c r="D13" s="29" t="s">
        <v>30</v>
      </c>
      <c r="E13" s="29" t="s">
        <v>31</v>
      </c>
      <c r="F13" s="29" t="s">
        <v>32</v>
      </c>
      <c r="G13" s="29" t="s">
        <v>33</v>
      </c>
      <c r="H13" s="32" t="s">
        <v>11</v>
      </c>
    </row>
    <row r="14" spans="1:37">
      <c r="A14" s="4"/>
      <c r="B14" s="30">
        <v>0.1</v>
      </c>
      <c r="C14" s="13">
        <v>20.5</v>
      </c>
      <c r="D14" s="13">
        <v>19</v>
      </c>
      <c r="E14" s="13">
        <v>19.5</v>
      </c>
      <c r="F14" s="13">
        <v>21</v>
      </c>
      <c r="G14" s="13">
        <v>19.5</v>
      </c>
      <c r="H14" s="19">
        <f>AVERAGE(C14:G14)</f>
        <v>19.899999999999999</v>
      </c>
    </row>
    <row r="15" spans="1:37">
      <c r="A15" s="4"/>
      <c r="B15" s="30">
        <v>0.2</v>
      </c>
      <c r="C15" s="13">
        <v>20</v>
      </c>
      <c r="D15" s="13">
        <v>21</v>
      </c>
      <c r="E15" s="13">
        <v>21</v>
      </c>
      <c r="F15" s="13">
        <v>21.5</v>
      </c>
      <c r="G15" s="13">
        <v>20.5</v>
      </c>
      <c r="H15" s="19">
        <f>AVERAGE(C15:G15)</f>
        <v>20.8</v>
      </c>
    </row>
    <row r="16" spans="1:37">
      <c r="A16" s="4"/>
      <c r="B16" s="30">
        <v>0.3</v>
      </c>
      <c r="C16" s="13">
        <v>14.5</v>
      </c>
      <c r="D16" s="13">
        <v>13.4</v>
      </c>
      <c r="E16" s="13">
        <v>17</v>
      </c>
      <c r="F16" s="13">
        <v>14</v>
      </c>
      <c r="G16" s="13">
        <v>12.5</v>
      </c>
      <c r="H16" s="19">
        <f>AVERAGE(C16:G16)</f>
        <v>14.280000000000001</v>
      </c>
    </row>
    <row r="17" spans="1:8">
      <c r="A17" s="4"/>
      <c r="B17" s="30">
        <v>0.5</v>
      </c>
      <c r="C17" s="13">
        <v>17.100000000000001</v>
      </c>
      <c r="D17" s="13">
        <v>9</v>
      </c>
      <c r="E17" s="13">
        <v>11.8</v>
      </c>
      <c r="F17" s="13">
        <v>11.8</v>
      </c>
      <c r="G17" s="13">
        <v>7.5</v>
      </c>
      <c r="H17" s="19">
        <f>AVERAGE(C17:G17)</f>
        <v>11.440000000000001</v>
      </c>
    </row>
    <row r="21" spans="1:8" ht="14.25" customHeight="1">
      <c r="B21" s="3" t="s">
        <v>16</v>
      </c>
      <c r="C21" s="1" t="s">
        <v>12</v>
      </c>
      <c r="D21" s="1"/>
      <c r="E21" s="1" t="s">
        <v>14</v>
      </c>
      <c r="F21" s="1"/>
      <c r="G21" s="1" t="s">
        <v>15</v>
      </c>
      <c r="H21" s="1"/>
    </row>
    <row r="22" spans="1:8">
      <c r="B22" s="3"/>
      <c r="C22" s="32" t="s">
        <v>11</v>
      </c>
      <c r="D22" s="32" t="s">
        <v>17</v>
      </c>
      <c r="E22" s="32" t="s">
        <v>11</v>
      </c>
      <c r="F22" s="32" t="s">
        <v>17</v>
      </c>
      <c r="G22" s="32" t="s">
        <v>11</v>
      </c>
      <c r="H22" s="32" t="s">
        <v>17</v>
      </c>
    </row>
    <row r="23" spans="1:8">
      <c r="B23" s="30">
        <v>0.1</v>
      </c>
      <c r="C23" s="19">
        <f>ROUND(AVERAGE(C2:H2),2)</f>
        <v>10.5</v>
      </c>
      <c r="D23" s="19">
        <f>ROUND(_xlfn.STDEV.S(C2:G2),2)</f>
        <v>1.04</v>
      </c>
      <c r="E23" s="19">
        <f>AVERAGE(C8:G8)</f>
        <v>16.759999999999998</v>
      </c>
      <c r="F23" s="19">
        <f>ROUND(_xlfn.STDEV.S(C8:G8),2)</f>
        <v>0.81</v>
      </c>
      <c r="G23" s="19">
        <f>AVERAGE(C14:G14)</f>
        <v>19.899999999999999</v>
      </c>
      <c r="H23" s="19">
        <f>ROUND(_xlfn.STDEV.S(C14:G14),2)</f>
        <v>0.82</v>
      </c>
    </row>
    <row r="24" spans="1:8">
      <c r="B24" s="30">
        <v>0.2</v>
      </c>
      <c r="C24" s="19">
        <f>ROUND(AVERAGE(C3:H3),2)</f>
        <v>10.62</v>
      </c>
      <c r="D24" s="19">
        <f>ROUND(_xlfn.STDEV.S(C3:G3),2)</f>
        <v>0.95</v>
      </c>
      <c r="E24" s="19">
        <f>AVERAGE(C9:G9)</f>
        <v>17.02</v>
      </c>
      <c r="F24" s="19">
        <f>ROUND(_xlfn.STDEV.S(C9:G9),2)</f>
        <v>0.87</v>
      </c>
      <c r="G24" s="19">
        <f>AVERAGE(C15:G15)</f>
        <v>20.8</v>
      </c>
      <c r="H24" s="19">
        <f>ROUND(_xlfn.STDEV.S(C15:G15),2)</f>
        <v>0.56999999999999995</v>
      </c>
    </row>
    <row r="25" spans="1:8">
      <c r="B25" s="30">
        <v>0.3</v>
      </c>
      <c r="C25" s="19">
        <f>ROUND(AVERAGE(C4:H4),2)</f>
        <v>6.48</v>
      </c>
      <c r="D25" s="19">
        <f>ROUND(_xlfn.STDEV.S(C4:G4),2)</f>
        <v>1.22</v>
      </c>
      <c r="E25" s="19">
        <f>AVERAGE(C10:G10)</f>
        <v>9.14</v>
      </c>
      <c r="F25" s="19">
        <f>ROUND(_xlfn.STDEV.S(C10:G10),2)</f>
        <v>1.72</v>
      </c>
      <c r="G25" s="19">
        <f>AVERAGE(C16:G16)</f>
        <v>14.280000000000001</v>
      </c>
      <c r="H25" s="19">
        <f>ROUND(_xlfn.STDEV.S(C16:G16),2)</f>
        <v>1.69</v>
      </c>
    </row>
    <row r="26" spans="1:8">
      <c r="B26" s="30">
        <v>0.5</v>
      </c>
      <c r="C26" s="19">
        <f>ROUND(AVERAGE(C5:H5),2)</f>
        <v>3</v>
      </c>
      <c r="D26" s="19">
        <f>ROUND(_xlfn.STDEV.S(C5:G5),2)</f>
        <v>0.67</v>
      </c>
      <c r="E26" s="19">
        <f>AVERAGE(C11:G11)</f>
        <v>6.14</v>
      </c>
      <c r="F26" s="19">
        <f>ROUND(_xlfn.STDEV.S(C11:G11),2)</f>
        <v>0.83</v>
      </c>
      <c r="G26" s="19">
        <f>AVERAGE(C17:G17)</f>
        <v>11.440000000000001</v>
      </c>
      <c r="H26" s="19">
        <f>ROUND(_xlfn.STDEV.S(C17:G17),2)</f>
        <v>3.67</v>
      </c>
    </row>
    <row r="27" spans="1:8">
      <c r="B27" s="19" t="s">
        <v>0</v>
      </c>
      <c r="C27" s="19">
        <f>'Control Pea Shoot'!E10</f>
        <v>7.6124999999999989</v>
      </c>
      <c r="D27" s="19">
        <f>'Control Pea Shoot'!F10</f>
        <v>2.4900000000000002</v>
      </c>
      <c r="E27" s="19">
        <f>'Control Pea Shoot'!G10</f>
        <v>11.799999999999999</v>
      </c>
      <c r="F27" s="19">
        <f>'Control Pea Shoot'!H10</f>
        <v>5.14</v>
      </c>
      <c r="G27" s="19">
        <f>'Control Pea Shoot'!I10</f>
        <v>15.87</v>
      </c>
      <c r="H27" s="19">
        <f>'Control Pea Shoot'!J10</f>
        <v>3.78</v>
      </c>
    </row>
  </sheetData>
  <mergeCells count="7">
    <mergeCell ref="E21:F21"/>
    <mergeCell ref="G21:H21"/>
    <mergeCell ref="A1:A5"/>
    <mergeCell ref="A7:A11"/>
    <mergeCell ref="A13:A17"/>
    <mergeCell ref="B21:B22"/>
    <mergeCell ref="C21:D2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27"/>
  <sheetViews>
    <sheetView topLeftCell="B6" zoomScale="87" zoomScaleNormal="87" workbookViewId="0">
      <selection activeCell="I11" sqref="I11"/>
    </sheetView>
  </sheetViews>
  <sheetFormatPr defaultColWidth="9" defaultRowHeight="14.4"/>
  <cols>
    <col min="2" max="2" width="13.109375" customWidth="1"/>
    <col min="3" max="39" width="9.6640625" customWidth="1"/>
  </cols>
  <sheetData>
    <row r="1" spans="1:37" ht="15" customHeight="1">
      <c r="A1" s="4" t="s">
        <v>12</v>
      </c>
      <c r="B1" s="29" t="s">
        <v>18</v>
      </c>
      <c r="C1" s="29" t="s">
        <v>29</v>
      </c>
      <c r="D1" s="29" t="s">
        <v>30</v>
      </c>
      <c r="E1" s="29" t="s">
        <v>31</v>
      </c>
      <c r="F1" s="29" t="s">
        <v>32</v>
      </c>
      <c r="G1" s="29" t="s">
        <v>33</v>
      </c>
      <c r="H1" s="32" t="s">
        <v>11</v>
      </c>
    </row>
    <row r="2" spans="1:37" ht="15" customHeight="1">
      <c r="A2" s="4"/>
      <c r="B2" s="30">
        <v>0.1</v>
      </c>
      <c r="C2" s="13">
        <v>11.8</v>
      </c>
      <c r="D2" s="13">
        <v>11</v>
      </c>
      <c r="E2" s="13">
        <v>10.199999999999999</v>
      </c>
      <c r="F2" s="13">
        <v>8.4</v>
      </c>
      <c r="G2" s="13">
        <v>10.199999999999999</v>
      </c>
      <c r="H2" s="19">
        <f>AVERAGE(C2:G2)</f>
        <v>10.319999999999999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ht="15" customHeight="1">
      <c r="A3" s="4"/>
      <c r="B3" s="30">
        <v>0.2</v>
      </c>
      <c r="C3" s="13">
        <v>9.1999999999999993</v>
      </c>
      <c r="D3" s="13">
        <v>11.2</v>
      </c>
      <c r="E3" s="13">
        <v>9</v>
      </c>
      <c r="F3" s="13">
        <v>10.3</v>
      </c>
      <c r="G3" s="13">
        <v>8.5</v>
      </c>
      <c r="H3" s="19">
        <f>AVERAGE(C3:G3)</f>
        <v>9.64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ht="15" customHeight="1">
      <c r="A4" s="4"/>
      <c r="B4" s="30">
        <v>0.3</v>
      </c>
      <c r="C4" s="13">
        <v>8</v>
      </c>
      <c r="D4" s="13">
        <v>5.3</v>
      </c>
      <c r="E4" s="13">
        <v>7.5</v>
      </c>
      <c r="F4" s="13">
        <v>7.8</v>
      </c>
      <c r="G4" s="13">
        <v>4.3</v>
      </c>
      <c r="H4" s="19">
        <f>AVERAGE(C4:G4)</f>
        <v>6.58</v>
      </c>
    </row>
    <row r="5" spans="1:37" ht="15" customHeight="1">
      <c r="A5" s="4"/>
      <c r="B5" s="30">
        <v>0.5</v>
      </c>
      <c r="C5" s="13">
        <v>2.5</v>
      </c>
      <c r="D5" s="13">
        <v>1.4</v>
      </c>
      <c r="E5" s="13">
        <v>1.8</v>
      </c>
      <c r="F5" s="13"/>
      <c r="G5" s="13"/>
      <c r="H5" s="19">
        <f>ROUND(AVERAGE(C5:G5),2)</f>
        <v>1.9</v>
      </c>
    </row>
    <row r="7" spans="1:37">
      <c r="A7" s="4" t="s">
        <v>14</v>
      </c>
      <c r="B7" s="29" t="s">
        <v>18</v>
      </c>
      <c r="C7" s="29" t="s">
        <v>29</v>
      </c>
      <c r="D7" s="29" t="s">
        <v>30</v>
      </c>
      <c r="E7" s="29" t="s">
        <v>31</v>
      </c>
      <c r="F7" s="29" t="s">
        <v>32</v>
      </c>
      <c r="G7" s="29" t="s">
        <v>33</v>
      </c>
      <c r="H7" s="32" t="s">
        <v>11</v>
      </c>
    </row>
    <row r="8" spans="1:37">
      <c r="A8" s="4"/>
      <c r="B8" s="30">
        <v>0.1</v>
      </c>
      <c r="C8" s="13">
        <v>17</v>
      </c>
      <c r="D8" s="13">
        <v>19</v>
      </c>
      <c r="E8" s="13">
        <v>18</v>
      </c>
      <c r="F8" s="13">
        <v>17.5</v>
      </c>
      <c r="G8" s="13">
        <v>16.5</v>
      </c>
      <c r="H8" s="19">
        <f>AVERAGE(C8:G8)</f>
        <v>17.600000000000001</v>
      </c>
    </row>
    <row r="9" spans="1:37">
      <c r="A9" s="4"/>
      <c r="B9" s="30">
        <v>0.2</v>
      </c>
      <c r="C9" s="13">
        <v>18</v>
      </c>
      <c r="D9" s="13">
        <v>16.7</v>
      </c>
      <c r="E9" s="13">
        <v>17</v>
      </c>
      <c r="F9" s="13">
        <v>17.3</v>
      </c>
      <c r="G9" s="13">
        <v>17.2</v>
      </c>
      <c r="H9" s="19">
        <f>AVERAGE(C9:G9)</f>
        <v>17.240000000000002</v>
      </c>
    </row>
    <row r="10" spans="1:37">
      <c r="A10" s="4"/>
      <c r="B10" s="30">
        <v>0.3</v>
      </c>
      <c r="C10" s="13">
        <v>9.9</v>
      </c>
      <c r="D10" s="13">
        <v>8</v>
      </c>
      <c r="E10" s="13">
        <v>10.1</v>
      </c>
      <c r="F10" s="13">
        <v>9.4</v>
      </c>
      <c r="G10" s="13">
        <v>6.5</v>
      </c>
      <c r="H10" s="19">
        <f>AVERAGE(C10:G10)</f>
        <v>8.7799999999999994</v>
      </c>
    </row>
    <row r="11" spans="1:37">
      <c r="A11" s="4"/>
      <c r="B11" s="30">
        <v>0.5</v>
      </c>
      <c r="C11" s="13">
        <v>5.8</v>
      </c>
      <c r="D11" s="13">
        <v>3.8</v>
      </c>
      <c r="E11" s="13">
        <v>1.4</v>
      </c>
      <c r="F11" s="13">
        <v>1.4</v>
      </c>
      <c r="G11" s="13"/>
      <c r="H11" s="19">
        <f>AVERAGE(C11:G11)</f>
        <v>3.1</v>
      </c>
    </row>
    <row r="13" spans="1:37">
      <c r="A13" s="4" t="s">
        <v>15</v>
      </c>
      <c r="B13" s="29" t="s">
        <v>18</v>
      </c>
      <c r="C13" s="29" t="s">
        <v>29</v>
      </c>
      <c r="D13" s="29" t="s">
        <v>30</v>
      </c>
      <c r="E13" s="29" t="s">
        <v>31</v>
      </c>
      <c r="F13" s="29" t="s">
        <v>32</v>
      </c>
      <c r="G13" s="29" t="s">
        <v>33</v>
      </c>
      <c r="H13" s="32" t="s">
        <v>11</v>
      </c>
    </row>
    <row r="14" spans="1:37">
      <c r="A14" s="4"/>
      <c r="B14" s="30">
        <v>0.1</v>
      </c>
      <c r="C14" s="13">
        <v>20.5</v>
      </c>
      <c r="D14" s="13">
        <v>21.5</v>
      </c>
      <c r="E14" s="13">
        <v>21.8</v>
      </c>
      <c r="F14" s="13">
        <v>21.6</v>
      </c>
      <c r="G14" s="13">
        <v>21.2</v>
      </c>
      <c r="H14" s="19">
        <f>AVERAGE(C14:G14)</f>
        <v>21.32</v>
      </c>
    </row>
    <row r="15" spans="1:37">
      <c r="A15" s="4"/>
      <c r="B15" s="30">
        <v>0.2</v>
      </c>
      <c r="C15" s="13">
        <v>20.5</v>
      </c>
      <c r="D15" s="13">
        <v>18.399999999999999</v>
      </c>
      <c r="E15" s="13">
        <v>21</v>
      </c>
      <c r="F15" s="13">
        <v>16.5</v>
      </c>
      <c r="G15" s="13">
        <v>17.7</v>
      </c>
      <c r="H15" s="19">
        <f>AVERAGE(C15:G15)</f>
        <v>18.82</v>
      </c>
    </row>
    <row r="16" spans="1:37">
      <c r="A16" s="4"/>
      <c r="B16" s="30">
        <v>0.3</v>
      </c>
      <c r="C16" s="13">
        <v>15.2</v>
      </c>
      <c r="D16" s="13">
        <v>14.5</v>
      </c>
      <c r="E16" s="13">
        <v>11.1</v>
      </c>
      <c r="F16" s="13">
        <v>13</v>
      </c>
      <c r="G16" s="13">
        <v>11</v>
      </c>
      <c r="H16" s="19">
        <f>AVERAGE(C16:G16)</f>
        <v>12.959999999999999</v>
      </c>
    </row>
    <row r="17" spans="1:8">
      <c r="A17" s="4"/>
      <c r="B17" s="30">
        <v>0.5</v>
      </c>
      <c r="C17" s="13">
        <v>11.5</v>
      </c>
      <c r="D17" s="13">
        <v>4</v>
      </c>
      <c r="E17" s="13">
        <v>7.5</v>
      </c>
      <c r="F17" s="13">
        <v>8.6999999999999993</v>
      </c>
      <c r="G17" s="13">
        <v>6</v>
      </c>
      <c r="H17" s="19">
        <f>AVERAGE(C17:G17)</f>
        <v>7.5400000000000009</v>
      </c>
    </row>
    <row r="21" spans="1:8" ht="14.25" customHeight="1">
      <c r="B21" s="3" t="s">
        <v>16</v>
      </c>
      <c r="C21" s="1" t="s">
        <v>12</v>
      </c>
      <c r="D21" s="1"/>
      <c r="E21" s="1" t="s">
        <v>14</v>
      </c>
      <c r="F21" s="1"/>
      <c r="G21" s="1" t="s">
        <v>15</v>
      </c>
      <c r="H21" s="1"/>
    </row>
    <row r="22" spans="1:8">
      <c r="B22" s="3"/>
      <c r="C22" s="32" t="s">
        <v>11</v>
      </c>
      <c r="D22" s="32" t="s">
        <v>17</v>
      </c>
      <c r="E22" s="32" t="s">
        <v>11</v>
      </c>
      <c r="F22" s="32" t="s">
        <v>17</v>
      </c>
      <c r="G22" s="32" t="s">
        <v>11</v>
      </c>
      <c r="H22" s="32" t="s">
        <v>17</v>
      </c>
    </row>
    <row r="23" spans="1:8">
      <c r="B23" s="30">
        <v>0.1</v>
      </c>
      <c r="C23" s="19">
        <f>ROUND(AVERAGE(C2:H2),2)</f>
        <v>10.32</v>
      </c>
      <c r="D23" s="19">
        <f>ROUND(_xlfn.STDEV.S(C2:G2),2)</f>
        <v>1.26</v>
      </c>
      <c r="E23" s="19">
        <f>AVERAGE(C8:G8)</f>
        <v>17.600000000000001</v>
      </c>
      <c r="F23" s="19">
        <f>ROUND(_xlfn.STDEV.S(C8:G8),2)</f>
        <v>0.96</v>
      </c>
      <c r="G23" s="19">
        <f>AVERAGE(C14:G14)</f>
        <v>21.32</v>
      </c>
      <c r="H23" s="19">
        <f>ROUND(_xlfn.STDEV.S(C14:G14),2)</f>
        <v>0.51</v>
      </c>
    </row>
    <row r="24" spans="1:8">
      <c r="B24" s="30">
        <v>0.2</v>
      </c>
      <c r="C24" s="19">
        <f>ROUND(AVERAGE(C3:H3),2)</f>
        <v>9.64</v>
      </c>
      <c r="D24" s="19">
        <f>ROUND(_xlfn.STDEV.S(C3:G3),2)</f>
        <v>1.0900000000000001</v>
      </c>
      <c r="E24" s="19">
        <f>AVERAGE(C9:G9)</f>
        <v>17.240000000000002</v>
      </c>
      <c r="F24" s="19">
        <f>ROUND(_xlfn.STDEV.S(C9:G9),2)</f>
        <v>0.48</v>
      </c>
      <c r="G24" s="19">
        <f>AVERAGE(C15:G15)</f>
        <v>18.82</v>
      </c>
      <c r="H24" s="19">
        <f>ROUND(_xlfn.STDEV.S(C15:G15),2)</f>
        <v>1.9</v>
      </c>
    </row>
    <row r="25" spans="1:8">
      <c r="B25" s="30">
        <v>0.3</v>
      </c>
      <c r="C25" s="19">
        <f>ROUND(AVERAGE(C4:H4),2)</f>
        <v>6.58</v>
      </c>
      <c r="D25" s="19">
        <f>ROUND(_xlfn.STDEV.S(C4:G4),2)</f>
        <v>1.67</v>
      </c>
      <c r="E25" s="19">
        <f>AVERAGE(C10:G10)</f>
        <v>8.7799999999999994</v>
      </c>
      <c r="F25" s="19">
        <f>ROUND(_xlfn.STDEV.S(C10:G10),2)</f>
        <v>1.52</v>
      </c>
      <c r="G25" s="19">
        <f>AVERAGE(C16:G16)</f>
        <v>12.959999999999999</v>
      </c>
      <c r="H25" s="19">
        <f>ROUND(_xlfn.STDEV.S(C16:G16),2)</f>
        <v>1.92</v>
      </c>
    </row>
    <row r="26" spans="1:8">
      <c r="B26" s="30">
        <v>0.5</v>
      </c>
      <c r="C26" s="19">
        <f>ROUND(AVERAGE(C5:H5),2)</f>
        <v>1.9</v>
      </c>
      <c r="D26" s="19">
        <f>ROUND(_xlfn.STDEV.S(C5:G5),2)</f>
        <v>0.56000000000000005</v>
      </c>
      <c r="E26" s="19">
        <f>AVERAGE(C11:G11)</f>
        <v>3.1</v>
      </c>
      <c r="F26" s="19">
        <f>ROUND(_xlfn.STDEV.S(C11:G11),2)</f>
        <v>2.13</v>
      </c>
      <c r="G26" s="19">
        <f>AVERAGE(C17:G17)</f>
        <v>7.5400000000000009</v>
      </c>
      <c r="H26" s="19">
        <f>ROUND(_xlfn.STDEV.S(C17:G17),2)</f>
        <v>2.83</v>
      </c>
    </row>
    <row r="27" spans="1:8">
      <c r="B27" s="19" t="s">
        <v>0</v>
      </c>
      <c r="C27" s="19">
        <f>'Control Pea Shoot'!E10</f>
        <v>7.6124999999999989</v>
      </c>
      <c r="D27" s="19">
        <f>'Control Pea Shoot'!F10</f>
        <v>2.4900000000000002</v>
      </c>
      <c r="E27" s="19">
        <f>'Control Pea Shoot'!G10</f>
        <v>11.799999999999999</v>
      </c>
      <c r="F27" s="19">
        <f>'Control Pea Shoot'!H10</f>
        <v>5.14</v>
      </c>
      <c r="G27" s="19">
        <f>'Control Pea Shoot'!I10</f>
        <v>15.87</v>
      </c>
      <c r="H27" s="19">
        <f>'Control Pea Shoot'!J10</f>
        <v>3.78</v>
      </c>
    </row>
  </sheetData>
  <mergeCells count="7">
    <mergeCell ref="E21:F21"/>
    <mergeCell ref="G21:H21"/>
    <mergeCell ref="A1:A5"/>
    <mergeCell ref="A7:A11"/>
    <mergeCell ref="A13:A17"/>
    <mergeCell ref="B21:B22"/>
    <mergeCell ref="C21:D2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7"/>
  <sheetViews>
    <sheetView topLeftCell="A9" zoomScale="87" zoomScaleNormal="87" workbookViewId="0">
      <selection activeCell="J29" sqref="J29"/>
    </sheetView>
  </sheetViews>
  <sheetFormatPr defaultColWidth="9" defaultRowHeight="14.4"/>
  <cols>
    <col min="2" max="2" width="13.109375" customWidth="1"/>
    <col min="3" max="39" width="9.6640625" customWidth="1"/>
  </cols>
  <sheetData>
    <row r="1" spans="1:37" ht="15" customHeight="1">
      <c r="A1" s="4" t="s">
        <v>12</v>
      </c>
      <c r="B1" s="29" t="s">
        <v>18</v>
      </c>
      <c r="C1" s="29" t="s">
        <v>29</v>
      </c>
      <c r="D1" s="29" t="s">
        <v>30</v>
      </c>
      <c r="E1" s="29" t="s">
        <v>31</v>
      </c>
      <c r="F1" s="29" t="s">
        <v>32</v>
      </c>
      <c r="G1" s="29" t="s">
        <v>33</v>
      </c>
      <c r="H1" s="32" t="s">
        <v>11</v>
      </c>
    </row>
    <row r="2" spans="1:37" ht="15" customHeight="1">
      <c r="A2" s="4"/>
      <c r="B2" s="30">
        <v>0.1</v>
      </c>
      <c r="C2" s="13">
        <v>10.199999999999999</v>
      </c>
      <c r="D2" s="13">
        <v>11.4</v>
      </c>
      <c r="E2" s="13">
        <v>9.3000000000000007</v>
      </c>
      <c r="F2" s="13">
        <v>9.4</v>
      </c>
      <c r="G2" s="13">
        <v>9.1</v>
      </c>
      <c r="H2" s="19">
        <f>AVERAGE(C2:G2)</f>
        <v>9.8800000000000008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ht="15" customHeight="1">
      <c r="A3" s="4"/>
      <c r="B3" s="30">
        <v>0.2</v>
      </c>
      <c r="C3" s="13">
        <v>9.4</v>
      </c>
      <c r="D3" s="13">
        <v>9.1999999999999993</v>
      </c>
      <c r="E3" s="13">
        <v>8.3000000000000007</v>
      </c>
      <c r="F3" s="13">
        <v>10.1</v>
      </c>
      <c r="G3" s="13">
        <v>10.1</v>
      </c>
      <c r="H3" s="19">
        <f>AVERAGE(C3:G3)</f>
        <v>9.42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ht="15" customHeight="1">
      <c r="A4" s="4"/>
      <c r="B4" s="30">
        <v>0.3</v>
      </c>
      <c r="C4" s="13">
        <v>1.3</v>
      </c>
      <c r="D4" s="13">
        <v>9.1999999999999993</v>
      </c>
      <c r="E4" s="13">
        <v>1.3</v>
      </c>
      <c r="F4" s="13"/>
      <c r="G4" s="13"/>
      <c r="H4" s="19">
        <f>AVERAGE(C4:G4)</f>
        <v>3.9333333333333336</v>
      </c>
    </row>
    <row r="5" spans="1:37" ht="15" customHeight="1">
      <c r="A5" s="4"/>
      <c r="B5" s="30">
        <v>0.5</v>
      </c>
      <c r="C5" s="13">
        <v>6.8</v>
      </c>
      <c r="D5" s="13">
        <v>2.2999999999999998</v>
      </c>
      <c r="E5" s="13">
        <v>1.7</v>
      </c>
      <c r="F5" s="13"/>
      <c r="G5" s="13"/>
      <c r="H5" s="19">
        <f>ROUND(AVERAGE(C5:G5),2)</f>
        <v>3.6</v>
      </c>
    </row>
    <row r="7" spans="1:37">
      <c r="A7" s="4" t="s">
        <v>14</v>
      </c>
      <c r="B7" s="29" t="s">
        <v>18</v>
      </c>
      <c r="C7" s="29" t="s">
        <v>29</v>
      </c>
      <c r="D7" s="29" t="s">
        <v>30</v>
      </c>
      <c r="E7" s="29" t="s">
        <v>31</v>
      </c>
      <c r="F7" s="29" t="s">
        <v>32</v>
      </c>
      <c r="G7" s="29" t="s">
        <v>33</v>
      </c>
      <c r="H7" s="32" t="s">
        <v>11</v>
      </c>
    </row>
    <row r="8" spans="1:37">
      <c r="A8" s="4"/>
      <c r="B8" s="30">
        <v>0.1</v>
      </c>
      <c r="C8" s="13">
        <v>18.5</v>
      </c>
      <c r="D8" s="13">
        <v>18</v>
      </c>
      <c r="E8" s="13">
        <v>18</v>
      </c>
      <c r="F8" s="13">
        <v>16</v>
      </c>
      <c r="G8" s="13">
        <v>15</v>
      </c>
      <c r="H8" s="19">
        <f>AVERAGE(C8:G8)</f>
        <v>17.100000000000001</v>
      </c>
    </row>
    <row r="9" spans="1:37">
      <c r="A9" s="4"/>
      <c r="B9" s="30">
        <v>0.2</v>
      </c>
      <c r="C9" s="13">
        <v>14.5</v>
      </c>
      <c r="D9" s="13">
        <v>17</v>
      </c>
      <c r="E9" s="13">
        <v>16.5</v>
      </c>
      <c r="F9" s="13">
        <v>15</v>
      </c>
      <c r="G9" s="13">
        <v>15</v>
      </c>
      <c r="H9" s="19">
        <f>AVERAGE(C9:G9)</f>
        <v>15.6</v>
      </c>
    </row>
    <row r="10" spans="1:37">
      <c r="A10" s="4"/>
      <c r="B10" s="30">
        <v>0.3</v>
      </c>
      <c r="C10" s="13">
        <v>4.2</v>
      </c>
      <c r="D10" s="13">
        <v>2.2999999999999998</v>
      </c>
      <c r="E10" s="13">
        <v>10.4</v>
      </c>
      <c r="F10" s="13">
        <v>1.4</v>
      </c>
      <c r="G10" s="13">
        <v>2.5</v>
      </c>
      <c r="H10" s="19">
        <f>AVERAGE(C10:G10)</f>
        <v>4.1599999999999993</v>
      </c>
    </row>
    <row r="11" spans="1:37">
      <c r="A11" s="4"/>
      <c r="B11" s="30">
        <v>0.5</v>
      </c>
      <c r="C11" s="13">
        <v>3.9</v>
      </c>
      <c r="D11" s="13">
        <v>4.5999999999999996</v>
      </c>
      <c r="E11" s="13">
        <v>8.6999999999999993</v>
      </c>
      <c r="F11" s="13">
        <v>1.4</v>
      </c>
      <c r="G11" s="13"/>
      <c r="H11" s="19">
        <f>AVERAGE(C11:G11)</f>
        <v>4.6499999999999995</v>
      </c>
    </row>
    <row r="13" spans="1:37">
      <c r="A13" s="4" t="s">
        <v>15</v>
      </c>
      <c r="B13" s="29" t="s">
        <v>18</v>
      </c>
      <c r="C13" s="29" t="s">
        <v>29</v>
      </c>
      <c r="D13" s="29" t="s">
        <v>30</v>
      </c>
      <c r="E13" s="29" t="s">
        <v>31</v>
      </c>
      <c r="F13" s="29" t="s">
        <v>32</v>
      </c>
      <c r="G13" s="29" t="s">
        <v>33</v>
      </c>
      <c r="H13" s="32" t="s">
        <v>11</v>
      </c>
    </row>
    <row r="14" spans="1:37">
      <c r="A14" s="4"/>
      <c r="B14" s="30">
        <v>0.1</v>
      </c>
      <c r="C14" s="13">
        <v>18.5</v>
      </c>
      <c r="D14" s="13">
        <v>19</v>
      </c>
      <c r="E14" s="13">
        <v>20</v>
      </c>
      <c r="F14" s="13">
        <v>19.5</v>
      </c>
      <c r="G14" s="13">
        <v>17</v>
      </c>
      <c r="H14" s="19">
        <f>AVERAGE(C14:G14)</f>
        <v>18.8</v>
      </c>
    </row>
    <row r="15" spans="1:37">
      <c r="A15" s="4"/>
      <c r="B15" s="30">
        <v>0.2</v>
      </c>
      <c r="C15" s="13">
        <v>18.5</v>
      </c>
      <c r="D15" s="13">
        <v>19.5</v>
      </c>
      <c r="E15" s="13">
        <v>19.5</v>
      </c>
      <c r="F15" s="13">
        <v>19</v>
      </c>
      <c r="G15" s="13">
        <v>19.5</v>
      </c>
      <c r="H15" s="19">
        <f>AVERAGE(C15:G15)</f>
        <v>19.2</v>
      </c>
    </row>
    <row r="16" spans="1:37">
      <c r="A16" s="4"/>
      <c r="B16" s="30">
        <v>0.3</v>
      </c>
      <c r="C16" s="13">
        <v>13</v>
      </c>
      <c r="D16" s="13">
        <v>8.3000000000000007</v>
      </c>
      <c r="E16" s="13">
        <v>7.2</v>
      </c>
      <c r="F16" s="13">
        <v>10.1</v>
      </c>
      <c r="G16" s="13">
        <v>7.7</v>
      </c>
      <c r="H16" s="19">
        <f>AVERAGE(C16:G16)</f>
        <v>9.2600000000000016</v>
      </c>
    </row>
    <row r="17" spans="1:8">
      <c r="A17" s="4"/>
      <c r="B17" s="30">
        <v>0.5</v>
      </c>
      <c r="C17" s="13">
        <v>13</v>
      </c>
      <c r="D17" s="13">
        <v>11.1</v>
      </c>
      <c r="E17" s="13">
        <v>5</v>
      </c>
      <c r="F17" s="13">
        <v>6.5</v>
      </c>
      <c r="G17" s="13">
        <v>3.2</v>
      </c>
      <c r="H17" s="19">
        <f>AVERAGE(C17:G17)</f>
        <v>7.7600000000000007</v>
      </c>
    </row>
    <row r="21" spans="1:8" ht="14.25" customHeight="1">
      <c r="B21" s="3" t="s">
        <v>16</v>
      </c>
      <c r="C21" s="1" t="s">
        <v>12</v>
      </c>
      <c r="D21" s="1"/>
      <c r="E21" s="1" t="s">
        <v>14</v>
      </c>
      <c r="F21" s="1"/>
      <c r="G21" s="1" t="s">
        <v>15</v>
      </c>
      <c r="H21" s="1"/>
    </row>
    <row r="22" spans="1:8">
      <c r="B22" s="3"/>
      <c r="C22" s="32" t="s">
        <v>11</v>
      </c>
      <c r="D22" s="32" t="s">
        <v>17</v>
      </c>
      <c r="E22" s="32" t="s">
        <v>11</v>
      </c>
      <c r="F22" s="32" t="s">
        <v>17</v>
      </c>
      <c r="G22" s="32" t="s">
        <v>11</v>
      </c>
      <c r="H22" s="32" t="s">
        <v>17</v>
      </c>
    </row>
    <row r="23" spans="1:8">
      <c r="B23" s="30">
        <v>0.1</v>
      </c>
      <c r="C23" s="19">
        <f>ROUND(AVERAGE(C2:H2),2)</f>
        <v>9.8800000000000008</v>
      </c>
      <c r="D23" s="19">
        <f>ROUND(_xlfn.STDEV.S(C2:G2),2)</f>
        <v>0.95</v>
      </c>
      <c r="E23" s="19">
        <f>AVERAGE(C8:G8)</f>
        <v>17.100000000000001</v>
      </c>
      <c r="F23" s="19">
        <f>ROUND(_xlfn.STDEV.S(C8:G8),2)</f>
        <v>1.52</v>
      </c>
      <c r="G23" s="19">
        <f>AVERAGE(C14:G14)</f>
        <v>18.8</v>
      </c>
      <c r="H23" s="19">
        <f>ROUND(_xlfn.STDEV.S(C14:G14),2)</f>
        <v>1.1499999999999999</v>
      </c>
    </row>
    <row r="24" spans="1:8">
      <c r="B24" s="30">
        <v>0.2</v>
      </c>
      <c r="C24" s="19">
        <f>ROUND(AVERAGE(C3:H3),2)</f>
        <v>9.42</v>
      </c>
      <c r="D24" s="19">
        <f>ROUND(_xlfn.STDEV.S(C3:G3),2)</f>
        <v>0.75</v>
      </c>
      <c r="E24" s="19">
        <f>AVERAGE(C9:G9)</f>
        <v>15.6</v>
      </c>
      <c r="F24" s="19">
        <f>ROUND(_xlfn.STDEV.S(C9:G9),2)</f>
        <v>1.08</v>
      </c>
      <c r="G24" s="19">
        <f>AVERAGE(C15:G15)</f>
        <v>19.2</v>
      </c>
      <c r="H24" s="19">
        <f>ROUND(_xlfn.STDEV.S(C15:G15),2)</f>
        <v>0.45</v>
      </c>
    </row>
    <row r="25" spans="1:8">
      <c r="B25" s="30">
        <v>0.3</v>
      </c>
      <c r="C25" s="19">
        <f>ROUND(AVERAGE(C4:H4),2)</f>
        <v>3.93</v>
      </c>
      <c r="D25" s="19">
        <f>ROUND(_xlfn.STDEV.S(C4:G4),2)</f>
        <v>4.5599999999999996</v>
      </c>
      <c r="E25" s="19">
        <f>AVERAGE(C10:G10)</f>
        <v>4.1599999999999993</v>
      </c>
      <c r="F25" s="19">
        <f>ROUND(_xlfn.STDEV.S(C10:G10),2)</f>
        <v>3.63</v>
      </c>
      <c r="G25" s="19">
        <f>AVERAGE(C16:G16)</f>
        <v>9.2600000000000016</v>
      </c>
      <c r="H25" s="19">
        <f>ROUND(_xlfn.STDEV.S(C16:G16),2)</f>
        <v>2.36</v>
      </c>
    </row>
    <row r="26" spans="1:8">
      <c r="B26" s="30">
        <v>0.5</v>
      </c>
      <c r="C26" s="19">
        <f>ROUND(AVERAGE(C5:H5),2)</f>
        <v>3.6</v>
      </c>
      <c r="D26" s="19">
        <f>ROUND(_xlfn.STDEV.S(C5:G5),2)</f>
        <v>2.79</v>
      </c>
      <c r="E26" s="19">
        <f>AVERAGE(C11:G11)</f>
        <v>4.6499999999999995</v>
      </c>
      <c r="F26" s="19">
        <f>ROUND(_xlfn.STDEV.S(C11:G11),2)</f>
        <v>3.03</v>
      </c>
      <c r="G26" s="19">
        <f>AVERAGE(C17:G17)</f>
        <v>7.7600000000000007</v>
      </c>
      <c r="H26" s="19">
        <f>ROUND(_xlfn.STDEV.S(C17:G17),2)</f>
        <v>4.1399999999999997</v>
      </c>
    </row>
    <row r="27" spans="1:8">
      <c r="B27" s="19" t="s">
        <v>0</v>
      </c>
      <c r="C27" s="19">
        <f>'Control Pea Shoot'!E10</f>
        <v>7.6124999999999989</v>
      </c>
      <c r="D27" s="19">
        <f>'Control Pea Shoot'!F10</f>
        <v>2.4900000000000002</v>
      </c>
      <c r="E27" s="19">
        <f>'Control Pea Shoot'!G10</f>
        <v>11.799999999999999</v>
      </c>
      <c r="F27" s="19">
        <f>'Control Pea Shoot'!H10</f>
        <v>5.14</v>
      </c>
      <c r="G27" s="19">
        <f>'Control Pea Shoot'!I10</f>
        <v>15.87</v>
      </c>
      <c r="H27" s="19">
        <f>'Control Pea Shoot'!J10</f>
        <v>3.78</v>
      </c>
    </row>
  </sheetData>
  <mergeCells count="7">
    <mergeCell ref="E21:F21"/>
    <mergeCell ref="G21:H21"/>
    <mergeCell ref="A1:A5"/>
    <mergeCell ref="A7:A11"/>
    <mergeCell ref="A13:A17"/>
    <mergeCell ref="B21:B22"/>
    <mergeCell ref="C21:D2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zoomScale="99" zoomScaleNormal="99" workbookViewId="0">
      <selection activeCell="J22" sqref="J22"/>
    </sheetView>
  </sheetViews>
  <sheetFormatPr defaultColWidth="9" defaultRowHeight="14.4"/>
  <cols>
    <col min="2" max="2" width="13.109375" customWidth="1"/>
    <col min="3" max="3" width="9.6640625" customWidth="1"/>
    <col min="4" max="4" width="14.77734375" customWidth="1"/>
    <col min="5" max="29" width="9.6640625" customWidth="1"/>
  </cols>
  <sheetData>
    <row r="1" spans="1:14" ht="15" customHeight="1">
      <c r="A1" s="34"/>
      <c r="B1" s="29" t="s">
        <v>34</v>
      </c>
      <c r="C1" s="29" t="s">
        <v>1</v>
      </c>
      <c r="D1" s="29" t="s">
        <v>2</v>
      </c>
      <c r="E1" s="3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33" t="s">
        <v>11</v>
      </c>
    </row>
    <row r="2" spans="1:14" s="23" customFormat="1" ht="15" customHeight="1">
      <c r="A2" s="34" t="s">
        <v>15</v>
      </c>
      <c r="B2" s="30" t="s">
        <v>13</v>
      </c>
      <c r="C2" s="19">
        <v>11</v>
      </c>
      <c r="D2" s="19">
        <v>12</v>
      </c>
      <c r="E2" s="20">
        <v>10.5</v>
      </c>
      <c r="F2" s="21">
        <v>11.6</v>
      </c>
      <c r="G2" s="21">
        <v>11.6</v>
      </c>
      <c r="H2" s="21">
        <v>16.600000000000001</v>
      </c>
      <c r="I2" s="21">
        <v>10.4</v>
      </c>
      <c r="J2" s="21">
        <v>18.399999999999999</v>
      </c>
      <c r="K2" s="21">
        <v>12.1</v>
      </c>
      <c r="L2" s="21">
        <v>10.6</v>
      </c>
      <c r="M2" s="19">
        <f>AVERAGE(C2:L2)</f>
        <v>12.48</v>
      </c>
    </row>
    <row r="3" spans="1:14" ht="15" customHeight="1"/>
    <row r="4" spans="1:14" ht="15" customHeight="1"/>
    <row r="6" spans="1:14" ht="14.25" customHeight="1">
      <c r="D6" s="3" t="s">
        <v>16</v>
      </c>
      <c r="E6" s="1" t="s">
        <v>15</v>
      </c>
      <c r="F6" s="1"/>
    </row>
    <row r="7" spans="1:14" ht="28.5" customHeight="1">
      <c r="D7" s="3"/>
      <c r="E7" s="32" t="s">
        <v>11</v>
      </c>
      <c r="F7" s="32" t="s">
        <v>17</v>
      </c>
    </row>
    <row r="8" spans="1:14" ht="27" customHeight="1">
      <c r="D8" s="30" t="s">
        <v>0</v>
      </c>
      <c r="E8" s="19">
        <f>AVERAGE(C2:L2)</f>
        <v>12.48</v>
      </c>
      <c r="F8" s="19">
        <f>ROUND(_xlfn.STDEV.S(C2:L2),2)</f>
        <v>2.75</v>
      </c>
    </row>
    <row r="12" spans="1:14">
      <c r="I12" s="31"/>
      <c r="J12" s="31"/>
      <c r="K12" s="31"/>
      <c r="L12" s="31"/>
      <c r="M12" s="31"/>
    </row>
    <row r="13" spans="1:14">
      <c r="A13" s="23"/>
      <c r="B13" s="35"/>
      <c r="C13" s="35"/>
      <c r="D13" s="35"/>
      <c r="E13" s="35"/>
      <c r="F13" s="35"/>
      <c r="G13" s="35"/>
      <c r="H13" s="35"/>
      <c r="I13" s="31"/>
      <c r="J13" s="31"/>
      <c r="K13" s="31"/>
      <c r="L13" s="31"/>
      <c r="M13" s="31"/>
    </row>
    <row r="14" spans="1:14">
      <c r="A14" s="23"/>
      <c r="B14" s="38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</row>
    <row r="15" spans="1:14">
      <c r="A15" s="23"/>
      <c r="B15" s="38"/>
      <c r="C15" s="37"/>
      <c r="D15" s="37"/>
      <c r="E15" s="37"/>
      <c r="F15" s="37"/>
      <c r="G15" s="37"/>
      <c r="H15" s="37"/>
      <c r="I15" s="37"/>
      <c r="N15" s="31"/>
    </row>
    <row r="16" spans="1:14">
      <c r="A16" s="23"/>
      <c r="B16" s="23"/>
      <c r="C16" s="31"/>
      <c r="D16" s="31"/>
      <c r="E16" s="31"/>
      <c r="F16" s="31"/>
      <c r="G16" s="31"/>
      <c r="H16" s="31"/>
      <c r="I16" s="31"/>
    </row>
  </sheetData>
  <mergeCells count="2">
    <mergeCell ref="D6:D7"/>
    <mergeCell ref="E6:F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1"/>
  <sheetViews>
    <sheetView zoomScale="99" zoomScaleNormal="99" workbookViewId="0">
      <selection activeCell="G6" sqref="G6"/>
    </sheetView>
  </sheetViews>
  <sheetFormatPr defaultColWidth="9" defaultRowHeight="14.4"/>
  <cols>
    <col min="2" max="2" width="14.44140625" customWidth="1"/>
    <col min="3" max="39" width="9.6640625" customWidth="1"/>
  </cols>
  <sheetData>
    <row r="1" spans="1:8">
      <c r="A1" s="4" t="s">
        <v>15</v>
      </c>
      <c r="B1" s="29" t="s">
        <v>18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32" t="s">
        <v>11</v>
      </c>
    </row>
    <row r="2" spans="1:8">
      <c r="A2" s="4"/>
      <c r="B2" s="30">
        <v>0.1</v>
      </c>
      <c r="C2" s="13">
        <v>14.8</v>
      </c>
      <c r="D2" s="13">
        <v>14</v>
      </c>
      <c r="E2" s="13">
        <v>15.7</v>
      </c>
      <c r="F2" s="13">
        <v>12.6</v>
      </c>
      <c r="G2" s="13">
        <v>12.9</v>
      </c>
      <c r="H2" s="19">
        <f>AVERAGE(C2:G2)</f>
        <v>14</v>
      </c>
    </row>
    <row r="3" spans="1:8">
      <c r="A3" s="4"/>
      <c r="B3" s="30">
        <v>0.2</v>
      </c>
      <c r="C3" s="13">
        <v>17.399999999999999</v>
      </c>
      <c r="D3" s="13">
        <v>17</v>
      </c>
      <c r="E3" s="13">
        <v>15.7</v>
      </c>
      <c r="F3" s="13">
        <v>12.6</v>
      </c>
      <c r="G3" s="13">
        <v>15.5</v>
      </c>
      <c r="H3" s="19">
        <f>AVERAGE(C3:G3)</f>
        <v>15.639999999999997</v>
      </c>
    </row>
    <row r="4" spans="1:8">
      <c r="A4" s="4"/>
      <c r="B4" s="30">
        <v>0.3</v>
      </c>
      <c r="C4" s="13">
        <v>20.5</v>
      </c>
      <c r="D4" s="13">
        <v>17.8</v>
      </c>
      <c r="E4" s="13">
        <v>18.600000000000001</v>
      </c>
      <c r="F4" s="13">
        <v>20.5</v>
      </c>
      <c r="G4" s="13">
        <v>18</v>
      </c>
      <c r="H4" s="19">
        <f>AVERAGE(C4:G4)</f>
        <v>19.080000000000002</v>
      </c>
    </row>
    <row r="5" spans="1:8">
      <c r="A5" s="4"/>
      <c r="B5" s="30">
        <v>0.5</v>
      </c>
      <c r="C5" s="13">
        <v>14.5</v>
      </c>
      <c r="D5" s="13">
        <v>18.5</v>
      </c>
      <c r="E5" s="13">
        <v>11</v>
      </c>
      <c r="F5" s="13">
        <v>10.5</v>
      </c>
      <c r="G5" s="13">
        <v>14.3</v>
      </c>
      <c r="H5" s="19">
        <f>AVERAGE(C5:G5)</f>
        <v>13.76</v>
      </c>
    </row>
    <row r="7" spans="1:8">
      <c r="H7" s="40"/>
    </row>
    <row r="8" spans="1:8">
      <c r="H8" s="31"/>
    </row>
    <row r="9" spans="1:8" ht="14.25" customHeight="1">
      <c r="B9" s="3" t="s">
        <v>16</v>
      </c>
      <c r="C9" s="1" t="s">
        <v>15</v>
      </c>
      <c r="D9" s="1"/>
      <c r="H9" s="31"/>
    </row>
    <row r="10" spans="1:8" ht="14.25" customHeight="1">
      <c r="B10" s="3"/>
      <c r="C10" s="32" t="s">
        <v>11</v>
      </c>
      <c r="D10" s="32" t="s">
        <v>17</v>
      </c>
      <c r="H10" s="31"/>
    </row>
    <row r="11" spans="1:8" ht="14.25" customHeight="1">
      <c r="B11" s="30">
        <v>0.1</v>
      </c>
      <c r="C11" s="19">
        <f>AVERAGE(C2:G2)</f>
        <v>14</v>
      </c>
      <c r="D11" s="19">
        <f>ROUND(_xlfn.STDEV.S(C2:G2),2)</f>
        <v>1.29</v>
      </c>
      <c r="H11" s="31"/>
    </row>
    <row r="12" spans="1:8" ht="14.25" customHeight="1">
      <c r="B12" s="30">
        <v>0.2</v>
      </c>
      <c r="C12" s="19">
        <f>AVERAGE(C3:G3)</f>
        <v>15.639999999999997</v>
      </c>
      <c r="D12" s="19">
        <f>ROUND(_xlfn.STDEV.S(C3:G3),2)</f>
        <v>1.88</v>
      </c>
    </row>
    <row r="13" spans="1:8" ht="14.25" customHeight="1">
      <c r="B13" s="30">
        <v>0.3</v>
      </c>
      <c r="C13" s="19">
        <f>AVERAGE(C4:G4)</f>
        <v>19.080000000000002</v>
      </c>
      <c r="D13" s="19">
        <f>ROUND(_xlfn.STDEV.S(C4:G4),2)</f>
        <v>1.33</v>
      </c>
      <c r="H13" s="40"/>
    </row>
    <row r="14" spans="1:8" ht="14.25" customHeight="1">
      <c r="B14" s="30">
        <v>0.5</v>
      </c>
      <c r="C14" s="19">
        <f>AVERAGE(C5:G5)</f>
        <v>13.76</v>
      </c>
      <c r="D14" s="19">
        <f>ROUND(_xlfn.STDEV.S(C5:G5),2)</f>
        <v>3.22</v>
      </c>
      <c r="H14" s="31"/>
    </row>
    <row r="15" spans="1:8">
      <c r="B15" s="19" t="s">
        <v>0</v>
      </c>
      <c r="C15" s="19">
        <f>'Control Pea Root'!E8</f>
        <v>12.48</v>
      </c>
      <c r="D15" s="19">
        <f>'Control Pea Root'!F8</f>
        <v>2.75</v>
      </c>
      <c r="E15" s="31"/>
      <c r="F15" s="31"/>
      <c r="G15" s="31"/>
      <c r="H15" s="31"/>
    </row>
    <row r="16" spans="1:8">
      <c r="H16" s="31"/>
    </row>
    <row r="17" spans="8:15">
      <c r="H17" s="31"/>
    </row>
    <row r="21" spans="8:15">
      <c r="O21">
        <f>19.08/14.9</f>
        <v>1.2805369127516777</v>
      </c>
    </row>
  </sheetData>
  <mergeCells count="3">
    <mergeCell ref="A1:A5"/>
    <mergeCell ref="B9:B10"/>
    <mergeCell ref="C9:D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"/>
  <sheetViews>
    <sheetView zoomScale="99" zoomScaleNormal="99" workbookViewId="0"/>
  </sheetViews>
  <sheetFormatPr defaultColWidth="9" defaultRowHeight="14.4"/>
  <cols>
    <col min="2" max="2" width="14.44140625" customWidth="1"/>
    <col min="3" max="39" width="9.6640625" customWidth="1"/>
  </cols>
  <sheetData>
    <row r="1" spans="1:8">
      <c r="A1" s="4" t="s">
        <v>15</v>
      </c>
      <c r="B1" s="29" t="s">
        <v>18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32" t="s">
        <v>11</v>
      </c>
    </row>
    <row r="2" spans="1:8">
      <c r="A2" s="4"/>
      <c r="B2" s="30">
        <v>0.1</v>
      </c>
      <c r="C2" s="13">
        <v>16.5</v>
      </c>
      <c r="D2" s="13">
        <v>14.5</v>
      </c>
      <c r="E2" s="13">
        <v>14</v>
      </c>
      <c r="F2" s="13">
        <v>11.5</v>
      </c>
      <c r="G2" s="13">
        <v>14</v>
      </c>
      <c r="H2" s="19">
        <f>AVERAGE(C2:G2)</f>
        <v>14.1</v>
      </c>
    </row>
    <row r="3" spans="1:8">
      <c r="A3" s="4"/>
      <c r="B3" s="30">
        <v>0.2</v>
      </c>
      <c r="C3" s="13">
        <v>15</v>
      </c>
      <c r="D3" s="13">
        <v>15.5</v>
      </c>
      <c r="E3" s="13">
        <v>15.5</v>
      </c>
      <c r="F3" s="13">
        <v>13</v>
      </c>
      <c r="G3" s="13">
        <v>11</v>
      </c>
      <c r="H3" s="19">
        <f>AVERAGE(C3:G3)</f>
        <v>14</v>
      </c>
    </row>
    <row r="4" spans="1:8">
      <c r="A4" s="4"/>
      <c r="B4" s="30">
        <v>0.3</v>
      </c>
      <c r="C4" s="13">
        <v>19</v>
      </c>
      <c r="D4" s="13">
        <v>12.7</v>
      </c>
      <c r="E4" s="13">
        <v>17</v>
      </c>
      <c r="F4" s="13">
        <v>10.7</v>
      </c>
      <c r="G4" s="13">
        <v>14</v>
      </c>
      <c r="H4" s="19">
        <f>AVERAGE(C4:G4)</f>
        <v>14.680000000000001</v>
      </c>
    </row>
    <row r="5" spans="1:8">
      <c r="A5" s="4"/>
      <c r="B5" s="30">
        <v>0.5</v>
      </c>
      <c r="C5" s="13">
        <v>7.6</v>
      </c>
      <c r="D5" s="13">
        <v>9</v>
      </c>
      <c r="E5" s="13">
        <v>8.8000000000000007</v>
      </c>
      <c r="F5" s="13">
        <v>7.1</v>
      </c>
      <c r="G5" s="13">
        <v>6.3</v>
      </c>
      <c r="H5" s="19">
        <f>AVERAGE(C5:G5)</f>
        <v>7.76</v>
      </c>
    </row>
    <row r="7" spans="1:8">
      <c r="H7" s="40"/>
    </row>
    <row r="8" spans="1:8">
      <c r="H8" s="31"/>
    </row>
    <row r="9" spans="1:8" ht="14.25" customHeight="1">
      <c r="B9" s="3" t="s">
        <v>16</v>
      </c>
      <c r="C9" s="1" t="s">
        <v>15</v>
      </c>
      <c r="D9" s="1"/>
      <c r="H9" s="31"/>
    </row>
    <row r="10" spans="1:8" ht="14.25" customHeight="1">
      <c r="B10" s="3"/>
      <c r="C10" s="32" t="s">
        <v>11</v>
      </c>
      <c r="D10" s="32" t="s">
        <v>17</v>
      </c>
      <c r="H10" s="31"/>
    </row>
    <row r="11" spans="1:8" ht="14.25" customHeight="1">
      <c r="B11" s="30">
        <v>0.1</v>
      </c>
      <c r="C11" s="19">
        <f>AVERAGE(C2:G2)</f>
        <v>14.1</v>
      </c>
      <c r="D11" s="19">
        <f>ROUND(_xlfn.STDEV.S(C2:G2),2)</f>
        <v>1.78</v>
      </c>
      <c r="H11" s="31"/>
    </row>
    <row r="12" spans="1:8" ht="14.25" customHeight="1">
      <c r="B12" s="30">
        <v>0.2</v>
      </c>
      <c r="C12" s="19">
        <f>AVERAGE(C3:G3)</f>
        <v>14</v>
      </c>
      <c r="D12" s="19">
        <f>ROUND(_xlfn.STDEV.S(C3:G3),2)</f>
        <v>1.97</v>
      </c>
    </row>
    <row r="13" spans="1:8" ht="14.25" customHeight="1">
      <c r="B13" s="30">
        <v>0.3</v>
      </c>
      <c r="C13" s="19">
        <f>AVERAGE(C4:G4)</f>
        <v>14.680000000000001</v>
      </c>
      <c r="D13" s="19">
        <f>ROUND(_xlfn.STDEV.S(C4:G4),2)</f>
        <v>3.33</v>
      </c>
      <c r="H13" s="40"/>
    </row>
    <row r="14" spans="1:8" ht="14.25" customHeight="1">
      <c r="B14" s="30">
        <v>0.5</v>
      </c>
      <c r="C14" s="19">
        <f>AVERAGE(C5:G5)</f>
        <v>7.76</v>
      </c>
      <c r="D14" s="19">
        <f>ROUND(_xlfn.STDEV.S(C5:G5),2)</f>
        <v>1.1399999999999999</v>
      </c>
      <c r="H14" s="31"/>
    </row>
    <row r="15" spans="1:8">
      <c r="B15" s="19" t="s">
        <v>0</v>
      </c>
      <c r="C15" s="19">
        <f>'Control Pea Root'!E8</f>
        <v>12.48</v>
      </c>
      <c r="D15" s="19">
        <f>'Control Pea Root'!F8</f>
        <v>2.75</v>
      </c>
      <c r="E15" s="31"/>
      <c r="F15" s="31"/>
      <c r="G15" s="31"/>
      <c r="H15" s="31"/>
    </row>
    <row r="16" spans="1:8">
      <c r="H16" s="31"/>
    </row>
    <row r="17" spans="8:8">
      <c r="H17" s="31"/>
    </row>
  </sheetData>
  <mergeCells count="3">
    <mergeCell ref="A1:A5"/>
    <mergeCell ref="B9:B10"/>
    <mergeCell ref="C9:D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7"/>
  <sheetViews>
    <sheetView zoomScale="99" zoomScaleNormal="99" workbookViewId="0">
      <selection activeCell="D16" sqref="D16"/>
    </sheetView>
  </sheetViews>
  <sheetFormatPr defaultColWidth="9" defaultRowHeight="14.4"/>
  <cols>
    <col min="2" max="2" width="14.44140625" customWidth="1"/>
    <col min="3" max="39" width="9.6640625" customWidth="1"/>
  </cols>
  <sheetData>
    <row r="1" spans="1:8">
      <c r="A1" s="4" t="s">
        <v>15</v>
      </c>
      <c r="B1" s="29" t="s">
        <v>18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32" t="s">
        <v>11</v>
      </c>
    </row>
    <row r="2" spans="1:8">
      <c r="A2" s="4"/>
      <c r="B2" s="30">
        <v>0.1</v>
      </c>
      <c r="C2" s="13">
        <v>17.5</v>
      </c>
      <c r="D2" s="13">
        <v>15.5</v>
      </c>
      <c r="E2" s="13">
        <v>14.5</v>
      </c>
      <c r="F2" s="13">
        <v>13.9</v>
      </c>
      <c r="G2" s="13">
        <v>14.8</v>
      </c>
      <c r="H2" s="19">
        <f>AVERAGE(C2:G2)</f>
        <v>15.24</v>
      </c>
    </row>
    <row r="3" spans="1:8">
      <c r="A3" s="4"/>
      <c r="B3" s="30">
        <v>0.2</v>
      </c>
      <c r="C3" s="13">
        <v>16.5</v>
      </c>
      <c r="D3" s="13">
        <v>13.6</v>
      </c>
      <c r="E3" s="13">
        <v>17</v>
      </c>
      <c r="F3" s="13">
        <v>13</v>
      </c>
      <c r="G3" s="13">
        <v>15.3</v>
      </c>
      <c r="H3" s="19">
        <f>AVERAGE(C3:G3)</f>
        <v>15.080000000000002</v>
      </c>
    </row>
    <row r="4" spans="1:8">
      <c r="A4" s="4"/>
      <c r="B4" s="30">
        <v>0.3</v>
      </c>
      <c r="C4" s="13">
        <v>13</v>
      </c>
      <c r="D4" s="13">
        <v>25</v>
      </c>
      <c r="E4" s="13">
        <v>11.2</v>
      </c>
      <c r="F4" s="13">
        <v>14.8</v>
      </c>
      <c r="G4" s="13">
        <v>12.5</v>
      </c>
      <c r="H4" s="19">
        <f>AVERAGE(C4:G4)</f>
        <v>15.3</v>
      </c>
    </row>
    <row r="5" spans="1:8">
      <c r="A5" s="4"/>
      <c r="B5" s="30">
        <v>0.5</v>
      </c>
      <c r="C5" s="13">
        <v>12.9</v>
      </c>
      <c r="D5" s="13">
        <v>12.5</v>
      </c>
      <c r="E5" s="13">
        <v>9.5</v>
      </c>
      <c r="F5" s="13">
        <v>13.6</v>
      </c>
      <c r="G5" s="13">
        <v>12</v>
      </c>
      <c r="H5" s="19">
        <f>AVERAGE(C5:G5)</f>
        <v>12.1</v>
      </c>
    </row>
    <row r="7" spans="1:8">
      <c r="H7" s="40"/>
    </row>
    <row r="8" spans="1:8">
      <c r="H8" s="31"/>
    </row>
    <row r="9" spans="1:8" ht="14.25" customHeight="1">
      <c r="B9" s="3" t="s">
        <v>16</v>
      </c>
      <c r="C9" s="1" t="s">
        <v>15</v>
      </c>
      <c r="D9" s="1"/>
      <c r="H9" s="31"/>
    </row>
    <row r="10" spans="1:8" ht="14.25" customHeight="1">
      <c r="B10" s="3"/>
      <c r="C10" s="32" t="s">
        <v>11</v>
      </c>
      <c r="D10" s="32" t="s">
        <v>17</v>
      </c>
      <c r="H10" s="31"/>
    </row>
    <row r="11" spans="1:8" ht="14.25" customHeight="1">
      <c r="B11" s="30">
        <v>0.1</v>
      </c>
      <c r="C11" s="19">
        <f>AVERAGE(C2:G2)</f>
        <v>15.24</v>
      </c>
      <c r="D11" s="19">
        <f>ROUND(_xlfn.STDEV.S(C2:G2),2)</f>
        <v>1.39</v>
      </c>
      <c r="H11" s="31"/>
    </row>
    <row r="12" spans="1:8" ht="14.25" customHeight="1">
      <c r="B12" s="30">
        <v>0.2</v>
      </c>
      <c r="C12" s="19">
        <f>AVERAGE(C3:G3)</f>
        <v>15.080000000000002</v>
      </c>
      <c r="D12" s="19">
        <f>ROUND(_xlfn.STDEV.S(C3:G3),2)</f>
        <v>1.75</v>
      </c>
    </row>
    <row r="13" spans="1:8" ht="14.25" customHeight="1">
      <c r="B13" s="30">
        <v>0.3</v>
      </c>
      <c r="C13" s="19">
        <f>AVERAGE(C4:G4)</f>
        <v>15.3</v>
      </c>
      <c r="D13" s="19">
        <f>ROUND(_xlfn.STDEV.S(C4:G4),2)</f>
        <v>5.57</v>
      </c>
      <c r="H13" s="40"/>
    </row>
    <row r="14" spans="1:8" ht="14.25" customHeight="1">
      <c r="B14" s="30">
        <v>0.5</v>
      </c>
      <c r="C14" s="19">
        <f>AVERAGE(C5:G5)</f>
        <v>12.1</v>
      </c>
      <c r="D14" s="19">
        <f>ROUND(_xlfn.STDEV.S(C5:G5),2)</f>
        <v>1.57</v>
      </c>
      <c r="H14" s="31"/>
    </row>
    <row r="15" spans="1:8">
      <c r="B15" s="19" t="s">
        <v>0</v>
      </c>
      <c r="C15" s="19">
        <f>'Control Pea Root'!E8</f>
        <v>12.48</v>
      </c>
      <c r="D15" s="19">
        <f>'Control Pea Root'!F8</f>
        <v>2.75</v>
      </c>
      <c r="E15" s="31"/>
      <c r="F15" s="31"/>
      <c r="G15" s="31"/>
      <c r="H15" s="31"/>
    </row>
    <row r="16" spans="1:8">
      <c r="H16" s="31"/>
    </row>
    <row r="17" spans="8:8">
      <c r="H17" s="31"/>
    </row>
  </sheetData>
  <mergeCells count="3">
    <mergeCell ref="A1:A5"/>
    <mergeCell ref="B9:B10"/>
    <mergeCell ref="C9:D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7"/>
  <sheetViews>
    <sheetView zoomScale="99" zoomScaleNormal="99" workbookViewId="0">
      <selection activeCell="N15" sqref="N15"/>
    </sheetView>
  </sheetViews>
  <sheetFormatPr defaultColWidth="9" defaultRowHeight="14.4"/>
  <cols>
    <col min="2" max="2" width="14.44140625" customWidth="1"/>
    <col min="3" max="39" width="9.6640625" customWidth="1"/>
  </cols>
  <sheetData>
    <row r="1" spans="1:8">
      <c r="A1" s="4" t="s">
        <v>15</v>
      </c>
      <c r="B1" s="29" t="s">
        <v>18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32" t="s">
        <v>11</v>
      </c>
    </row>
    <row r="2" spans="1:8">
      <c r="A2" s="4"/>
      <c r="B2" s="30">
        <v>0.1</v>
      </c>
      <c r="C2" s="13">
        <v>13</v>
      </c>
      <c r="D2" s="13">
        <v>15</v>
      </c>
      <c r="E2" s="13">
        <v>13.5</v>
      </c>
      <c r="F2" s="13">
        <v>13.5</v>
      </c>
      <c r="G2" s="13">
        <v>14.5</v>
      </c>
      <c r="H2" s="19">
        <f>AVERAGE(C2:G2)</f>
        <v>13.9</v>
      </c>
    </row>
    <row r="3" spans="1:8">
      <c r="A3" s="4"/>
      <c r="B3" s="30">
        <v>0.2</v>
      </c>
      <c r="C3" s="13">
        <v>13.5</v>
      </c>
      <c r="D3" s="13">
        <v>12</v>
      </c>
      <c r="E3" s="13">
        <v>12.5</v>
      </c>
      <c r="F3" s="13">
        <v>14</v>
      </c>
      <c r="G3" s="13">
        <v>14</v>
      </c>
      <c r="H3" s="19">
        <f>AVERAGE(C3:G3)</f>
        <v>13.2</v>
      </c>
    </row>
    <row r="4" spans="1:8">
      <c r="A4" s="4"/>
      <c r="B4" s="30">
        <v>0.3</v>
      </c>
      <c r="C4" s="13">
        <v>20.6</v>
      </c>
      <c r="D4" s="13">
        <v>12</v>
      </c>
      <c r="E4" s="13">
        <v>16.600000000000001</v>
      </c>
      <c r="F4" s="13">
        <v>11.1</v>
      </c>
      <c r="G4" s="13">
        <v>13.3</v>
      </c>
      <c r="H4" s="19">
        <f>AVERAGE(C4:G4)</f>
        <v>14.720000000000002</v>
      </c>
    </row>
    <row r="5" spans="1:8">
      <c r="A5" s="4"/>
      <c r="B5" s="30">
        <v>0.5</v>
      </c>
      <c r="C5" s="13">
        <v>17</v>
      </c>
      <c r="D5" s="13">
        <v>14.3</v>
      </c>
      <c r="E5" s="13">
        <v>7.5</v>
      </c>
      <c r="F5" s="13">
        <v>13.3</v>
      </c>
      <c r="G5" s="13">
        <v>6.3</v>
      </c>
      <c r="H5" s="19">
        <f>AVERAGE(C5:G5)</f>
        <v>11.679999999999998</v>
      </c>
    </row>
    <row r="7" spans="1:8">
      <c r="H7" s="40"/>
    </row>
    <row r="8" spans="1:8">
      <c r="H8" s="31"/>
    </row>
    <row r="9" spans="1:8" ht="14.25" customHeight="1">
      <c r="B9" s="3" t="s">
        <v>16</v>
      </c>
      <c r="C9" s="1" t="s">
        <v>15</v>
      </c>
      <c r="D9" s="1"/>
      <c r="H9" s="31"/>
    </row>
    <row r="10" spans="1:8" ht="14.25" customHeight="1">
      <c r="B10" s="3"/>
      <c r="C10" s="32" t="s">
        <v>11</v>
      </c>
      <c r="D10" s="32" t="s">
        <v>17</v>
      </c>
      <c r="H10" s="31"/>
    </row>
    <row r="11" spans="1:8" ht="14.25" customHeight="1">
      <c r="B11" s="30">
        <v>0.1</v>
      </c>
      <c r="C11" s="19">
        <f>AVERAGE(C2:G2)</f>
        <v>13.9</v>
      </c>
      <c r="D11" s="19">
        <f>ROUND(_xlfn.STDEV.S(C2:G2),2)</f>
        <v>0.82</v>
      </c>
      <c r="H11" s="31"/>
    </row>
    <row r="12" spans="1:8" ht="14.25" customHeight="1">
      <c r="B12" s="30">
        <v>0.2</v>
      </c>
      <c r="C12" s="19">
        <f>AVERAGE(C3:G3)</f>
        <v>13.2</v>
      </c>
      <c r="D12" s="19">
        <f>ROUND(_xlfn.STDEV.S(C3:G3),2)</f>
        <v>0.91</v>
      </c>
    </row>
    <row r="13" spans="1:8" ht="14.25" customHeight="1">
      <c r="B13" s="30">
        <v>0.3</v>
      </c>
      <c r="C13" s="19">
        <f>AVERAGE(C4:G4)</f>
        <v>14.720000000000002</v>
      </c>
      <c r="D13" s="19">
        <f>ROUND(_xlfn.STDEV.S(C4:G4),2)</f>
        <v>3.89</v>
      </c>
      <c r="H13" s="40"/>
    </row>
    <row r="14" spans="1:8" ht="14.25" customHeight="1">
      <c r="B14" s="30">
        <v>0.5</v>
      </c>
      <c r="C14" s="19">
        <f>AVERAGE(C5:G5)</f>
        <v>11.679999999999998</v>
      </c>
      <c r="D14" s="19">
        <f>ROUND(_xlfn.STDEV.S(C5:G5),2)</f>
        <v>4.59</v>
      </c>
      <c r="H14" s="31"/>
    </row>
    <row r="15" spans="1:8">
      <c r="B15" s="19" t="s">
        <v>0</v>
      </c>
      <c r="C15" s="19">
        <f>'Control Pea Root'!E8</f>
        <v>12.48</v>
      </c>
      <c r="D15" s="19">
        <f>'Control Pea Root'!F8</f>
        <v>2.75</v>
      </c>
      <c r="E15" s="31"/>
      <c r="F15" s="31"/>
      <c r="G15" s="31"/>
      <c r="H15" s="31"/>
    </row>
    <row r="16" spans="1:8">
      <c r="H16" s="31"/>
    </row>
    <row r="17" spans="8:8">
      <c r="H17" s="31"/>
    </row>
  </sheetData>
  <mergeCells count="3">
    <mergeCell ref="A1:A5"/>
    <mergeCell ref="B9:B10"/>
    <mergeCell ref="C9:D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6"/>
  <sheetViews>
    <sheetView zoomScale="99" zoomScaleNormal="99" workbookViewId="0">
      <selection activeCell="I25" sqref="I25"/>
    </sheetView>
  </sheetViews>
  <sheetFormatPr defaultColWidth="9" defaultRowHeight="14.4"/>
  <cols>
    <col min="2" max="2" width="13.109375" customWidth="1"/>
    <col min="3" max="3" width="9.6640625" customWidth="1"/>
    <col min="4" max="4" width="14.77734375" customWidth="1"/>
    <col min="5" max="29" width="9.6640625" customWidth="1"/>
  </cols>
  <sheetData>
    <row r="1" spans="1:13" ht="15" customHeight="1">
      <c r="A1" s="34"/>
      <c r="B1" s="29" t="s">
        <v>34</v>
      </c>
      <c r="C1" s="29" t="s">
        <v>1</v>
      </c>
      <c r="D1" s="29" t="s">
        <v>2</v>
      </c>
      <c r="E1" s="3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33" t="s">
        <v>11</v>
      </c>
    </row>
    <row r="2" spans="1:13" s="23" customFormat="1" ht="15" customHeight="1">
      <c r="A2" s="34" t="s">
        <v>15</v>
      </c>
      <c r="B2" s="30" t="s">
        <v>13</v>
      </c>
      <c r="C2" s="19">
        <v>30</v>
      </c>
      <c r="D2" s="19">
        <v>32</v>
      </c>
      <c r="E2" s="20">
        <v>32</v>
      </c>
      <c r="F2" s="21">
        <v>31.8</v>
      </c>
      <c r="G2" s="21">
        <v>31</v>
      </c>
      <c r="H2" s="21">
        <v>26</v>
      </c>
      <c r="I2" s="21">
        <v>34.5</v>
      </c>
      <c r="J2" s="21">
        <v>24.5</v>
      </c>
      <c r="K2" s="21">
        <v>35</v>
      </c>
      <c r="L2" s="21">
        <v>15</v>
      </c>
      <c r="M2" s="19">
        <f>AVERAGE(C2:L2)</f>
        <v>29.18</v>
      </c>
    </row>
    <row r="3" spans="1:13" ht="15" customHeight="1"/>
    <row r="4" spans="1:13" ht="15" customHeight="1"/>
    <row r="6" spans="1:13" ht="14.25" customHeight="1">
      <c r="D6" s="3" t="s">
        <v>16</v>
      </c>
      <c r="E6" s="1" t="s">
        <v>15</v>
      </c>
      <c r="F6" s="1"/>
    </row>
    <row r="7" spans="1:13" ht="28.5" customHeight="1">
      <c r="D7" s="3"/>
      <c r="E7" s="32" t="s">
        <v>11</v>
      </c>
      <c r="F7" s="32" t="s">
        <v>17</v>
      </c>
    </row>
    <row r="8" spans="1:13" ht="27" customHeight="1">
      <c r="D8" s="30" t="s">
        <v>0</v>
      </c>
      <c r="E8" s="19">
        <f>AVERAGE(C2:L2)</f>
        <v>29.18</v>
      </c>
      <c r="F8" s="19">
        <f>ROUND(_xlfn.STDEV.S(C2:L2),2)</f>
        <v>5.98</v>
      </c>
    </row>
    <row r="13" spans="1:13">
      <c r="A13" s="23"/>
      <c r="B13" s="35"/>
      <c r="C13" s="35"/>
      <c r="D13" s="35"/>
      <c r="E13" s="35"/>
      <c r="F13" s="35"/>
      <c r="G13" s="35"/>
      <c r="H13" s="35"/>
      <c r="I13" s="35"/>
    </row>
    <row r="14" spans="1:13">
      <c r="A14" s="23"/>
      <c r="B14" s="38"/>
      <c r="C14" s="37"/>
      <c r="D14" s="37"/>
      <c r="E14" s="37"/>
      <c r="F14" s="37"/>
      <c r="G14" s="37"/>
      <c r="H14" s="37"/>
      <c r="I14" s="37"/>
    </row>
    <row r="15" spans="1:13">
      <c r="A15" s="23"/>
      <c r="B15" s="38"/>
      <c r="C15" s="37"/>
      <c r="D15" s="37"/>
      <c r="E15" s="37"/>
      <c r="F15" s="37"/>
      <c r="G15" s="37"/>
      <c r="H15" s="37"/>
      <c r="I15" s="37"/>
    </row>
    <row r="16" spans="1:13">
      <c r="A16" s="23"/>
      <c r="B16" s="23"/>
      <c r="C16" s="31"/>
      <c r="D16" s="31"/>
      <c r="E16" s="31"/>
      <c r="F16" s="31"/>
      <c r="G16" s="31"/>
      <c r="H16" s="31"/>
      <c r="I16" s="31"/>
    </row>
  </sheetData>
  <mergeCells count="2">
    <mergeCell ref="D6:D7"/>
    <mergeCell ref="E6:F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7"/>
  <sheetViews>
    <sheetView zoomScale="99" zoomScaleNormal="99" workbookViewId="0">
      <selection activeCell="N4" sqref="N4"/>
    </sheetView>
  </sheetViews>
  <sheetFormatPr defaultColWidth="9" defaultRowHeight="14.4"/>
  <cols>
    <col min="2" max="2" width="14.44140625" customWidth="1"/>
    <col min="3" max="39" width="9.6640625" customWidth="1"/>
  </cols>
  <sheetData>
    <row r="1" spans="1:8">
      <c r="A1" s="4" t="s">
        <v>15</v>
      </c>
      <c r="B1" s="29" t="s">
        <v>18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32" t="s">
        <v>11</v>
      </c>
    </row>
    <row r="2" spans="1:8">
      <c r="A2" s="4"/>
      <c r="B2" s="30">
        <v>0.1</v>
      </c>
      <c r="C2" s="13">
        <v>33</v>
      </c>
      <c r="D2" s="13">
        <v>35.5</v>
      </c>
      <c r="E2" s="13">
        <v>35</v>
      </c>
      <c r="F2" s="13">
        <v>34.5</v>
      </c>
      <c r="G2" s="13">
        <v>33</v>
      </c>
      <c r="H2" s="19">
        <f>AVERAGE(C2:G2)</f>
        <v>34.200000000000003</v>
      </c>
    </row>
    <row r="3" spans="1:8">
      <c r="A3" s="4"/>
      <c r="B3" s="30">
        <v>0.2</v>
      </c>
      <c r="C3" s="13">
        <v>33.5</v>
      </c>
      <c r="D3" s="13">
        <v>33</v>
      </c>
      <c r="E3" s="13">
        <v>33.5</v>
      </c>
      <c r="F3" s="13">
        <v>34.5</v>
      </c>
      <c r="G3" s="13">
        <v>35</v>
      </c>
      <c r="H3" s="19">
        <f>AVERAGE(C3:G3)</f>
        <v>33.9</v>
      </c>
    </row>
    <row r="4" spans="1:8">
      <c r="A4" s="4"/>
      <c r="B4" s="30">
        <v>0.3</v>
      </c>
      <c r="C4" s="13">
        <v>34</v>
      </c>
      <c r="D4" s="13">
        <v>21</v>
      </c>
      <c r="E4" s="13">
        <v>27.5</v>
      </c>
      <c r="F4" s="13">
        <v>18</v>
      </c>
      <c r="G4" s="13">
        <v>22</v>
      </c>
      <c r="H4" s="19">
        <f>AVERAGE(C4:G4)</f>
        <v>24.5</v>
      </c>
    </row>
    <row r="5" spans="1:8">
      <c r="A5" s="4"/>
      <c r="B5" s="30">
        <v>0.5</v>
      </c>
      <c r="C5" s="13">
        <v>31</v>
      </c>
      <c r="D5" s="13">
        <v>26.5</v>
      </c>
      <c r="E5" s="13">
        <v>13.5</v>
      </c>
      <c r="F5" s="13">
        <v>20</v>
      </c>
      <c r="G5" s="13">
        <v>20</v>
      </c>
      <c r="H5" s="19">
        <v>22.2</v>
      </c>
    </row>
    <row r="7" spans="1:8">
      <c r="H7" s="40"/>
    </row>
    <row r="8" spans="1:8">
      <c r="H8" s="31"/>
    </row>
    <row r="9" spans="1:8" ht="14.25" customHeight="1">
      <c r="B9" s="3" t="s">
        <v>16</v>
      </c>
      <c r="C9" s="1" t="s">
        <v>15</v>
      </c>
      <c r="D9" s="1"/>
      <c r="H9" s="31"/>
    </row>
    <row r="10" spans="1:8" ht="14.25" customHeight="1">
      <c r="B10" s="3"/>
      <c r="C10" s="32" t="s">
        <v>11</v>
      </c>
      <c r="D10" s="32" t="s">
        <v>17</v>
      </c>
      <c r="H10" s="31"/>
    </row>
    <row r="11" spans="1:8" ht="14.25" customHeight="1">
      <c r="B11" s="30">
        <v>0.1</v>
      </c>
      <c r="C11" s="19">
        <f>AVERAGE(C2:G2)</f>
        <v>34.200000000000003</v>
      </c>
      <c r="D11" s="19">
        <f>ROUND(_xlfn.STDEV.S(C2:G2),2)</f>
        <v>1.1499999999999999</v>
      </c>
      <c r="H11" s="31"/>
    </row>
    <row r="12" spans="1:8" ht="14.25" customHeight="1">
      <c r="B12" s="30">
        <v>0.2</v>
      </c>
      <c r="C12" s="19">
        <f>AVERAGE(C3:G3)</f>
        <v>33.9</v>
      </c>
      <c r="D12" s="19">
        <f>ROUND(_xlfn.STDEV.S(C3:G3),2)</f>
        <v>0.82</v>
      </c>
    </row>
    <row r="13" spans="1:8" ht="14.25" customHeight="1">
      <c r="B13" s="30">
        <v>0.3</v>
      </c>
      <c r="C13" s="19">
        <f>AVERAGE(C4:G4)</f>
        <v>24.5</v>
      </c>
      <c r="D13" s="19">
        <f>ROUND(_xlfn.STDEV.S(C4:G4),2)</f>
        <v>6.32</v>
      </c>
      <c r="H13" s="40"/>
    </row>
    <row r="14" spans="1:8" ht="14.25" customHeight="1">
      <c r="B14" s="30">
        <v>0.5</v>
      </c>
      <c r="C14" s="19">
        <f>AVERAGE(C5:G5)</f>
        <v>22.2</v>
      </c>
      <c r="D14" s="19">
        <f>ROUND(_xlfn.STDEV.S(C5:G5),2)</f>
        <v>6.73</v>
      </c>
      <c r="H14" s="31"/>
    </row>
    <row r="15" spans="1:8">
      <c r="B15" s="19" t="s">
        <v>0</v>
      </c>
      <c r="C15" s="19">
        <f>'Control Pea Total Length'!E8</f>
        <v>29.18</v>
      </c>
      <c r="D15" s="19">
        <f>'Control Pea Total Length'!F8</f>
        <v>5.98</v>
      </c>
      <c r="E15" s="31"/>
      <c r="F15" s="31"/>
      <c r="G15" s="31"/>
      <c r="H15" s="31"/>
    </row>
    <row r="16" spans="1:8">
      <c r="H16" s="31"/>
    </row>
    <row r="17" spans="8:8">
      <c r="H17" s="31"/>
    </row>
  </sheetData>
  <mergeCells count="3">
    <mergeCell ref="A1:A5"/>
    <mergeCell ref="B9:B10"/>
    <mergeCell ref="C9:D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7"/>
  <sheetViews>
    <sheetView zoomScale="99" zoomScaleNormal="99" workbookViewId="0">
      <selection activeCell="J27" sqref="J27"/>
    </sheetView>
  </sheetViews>
  <sheetFormatPr defaultColWidth="9" defaultRowHeight="14.4"/>
  <cols>
    <col min="2" max="2" width="14.44140625" customWidth="1"/>
    <col min="3" max="39" width="9.6640625" customWidth="1"/>
  </cols>
  <sheetData>
    <row r="1" spans="1:8">
      <c r="A1" s="4" t="s">
        <v>15</v>
      </c>
      <c r="B1" s="29" t="s">
        <v>18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32" t="s">
        <v>11</v>
      </c>
    </row>
    <row r="2" spans="1:8">
      <c r="A2" s="4"/>
      <c r="B2" s="30">
        <v>0.1</v>
      </c>
      <c r="C2" s="13">
        <v>39.5</v>
      </c>
      <c r="D2" s="13">
        <v>38.5</v>
      </c>
      <c r="E2" s="13">
        <v>37.5</v>
      </c>
      <c r="F2" s="13">
        <v>37</v>
      </c>
      <c r="G2" s="13">
        <v>37.5</v>
      </c>
      <c r="H2" s="19">
        <f>AVERAGE(C2:G2)</f>
        <v>38</v>
      </c>
    </row>
    <row r="3" spans="1:8">
      <c r="A3" s="4"/>
      <c r="B3" s="30">
        <v>0.2</v>
      </c>
      <c r="C3" s="13">
        <v>38.5</v>
      </c>
      <c r="D3" s="13">
        <v>33.5</v>
      </c>
      <c r="E3" s="13">
        <v>39.5</v>
      </c>
      <c r="F3" s="13">
        <v>30</v>
      </c>
      <c r="G3" s="13">
        <v>34.5</v>
      </c>
      <c r="H3" s="19">
        <f>AVERAGE(C3:G3)</f>
        <v>35.200000000000003</v>
      </c>
    </row>
    <row r="4" spans="1:8">
      <c r="A4" s="4"/>
      <c r="B4" s="30">
        <v>0.3</v>
      </c>
      <c r="C4" s="13">
        <v>29</v>
      </c>
      <c r="D4" s="13">
        <v>40.1</v>
      </c>
      <c r="E4" s="13">
        <v>22.5</v>
      </c>
      <c r="F4" s="13">
        <v>28.5</v>
      </c>
      <c r="G4" s="13">
        <v>30</v>
      </c>
      <c r="H4" s="19">
        <f>AVERAGE(C4:G4)</f>
        <v>30.02</v>
      </c>
    </row>
    <row r="5" spans="1:8">
      <c r="A5" s="4"/>
      <c r="B5" s="30">
        <v>0.5</v>
      </c>
      <c r="C5" s="13">
        <v>24.5</v>
      </c>
      <c r="D5" s="13">
        <v>16.5</v>
      </c>
      <c r="E5" s="13">
        <v>18.2</v>
      </c>
      <c r="F5" s="13">
        <v>21.3</v>
      </c>
      <c r="G5" s="13">
        <v>17</v>
      </c>
      <c r="H5" s="19">
        <f>AVERAGE(C5:G5)</f>
        <v>19.5</v>
      </c>
    </row>
    <row r="7" spans="1:8">
      <c r="H7" s="40"/>
    </row>
    <row r="8" spans="1:8">
      <c r="H8" s="31"/>
    </row>
    <row r="9" spans="1:8" ht="14.25" customHeight="1">
      <c r="B9" s="3" t="s">
        <v>16</v>
      </c>
      <c r="C9" s="1" t="s">
        <v>15</v>
      </c>
      <c r="D9" s="1"/>
      <c r="H9" s="31"/>
    </row>
    <row r="10" spans="1:8" ht="14.25" customHeight="1">
      <c r="B10" s="3"/>
      <c r="C10" s="32" t="s">
        <v>11</v>
      </c>
      <c r="D10" s="32" t="s">
        <v>17</v>
      </c>
      <c r="H10" s="31"/>
    </row>
    <row r="11" spans="1:8" ht="14.25" customHeight="1">
      <c r="B11" s="30">
        <v>0.1</v>
      </c>
      <c r="C11" s="19">
        <f>AVERAGE(C2:G2)</f>
        <v>38</v>
      </c>
      <c r="D11" s="19">
        <f>ROUND(_xlfn.STDEV.S(C2:G2),2)</f>
        <v>1</v>
      </c>
      <c r="H11" s="31"/>
    </row>
    <row r="12" spans="1:8" ht="14.25" customHeight="1">
      <c r="B12" s="30">
        <v>0.2</v>
      </c>
      <c r="C12" s="19">
        <f>AVERAGE(C3:G3)</f>
        <v>35.200000000000003</v>
      </c>
      <c r="D12" s="19">
        <f>ROUND(_xlfn.STDEV.S(C3:G3),2)</f>
        <v>3.87</v>
      </c>
    </row>
    <row r="13" spans="1:8" ht="14.25" customHeight="1">
      <c r="B13" s="30">
        <v>0.3</v>
      </c>
      <c r="C13" s="19">
        <f>AVERAGE(C4:G4)</f>
        <v>30.02</v>
      </c>
      <c r="D13" s="19">
        <f>ROUND(_xlfn.STDEV.S(C4:G4),2)</f>
        <v>6.35</v>
      </c>
      <c r="H13" s="40"/>
    </row>
    <row r="14" spans="1:8" ht="14.25" customHeight="1">
      <c r="B14" s="30">
        <v>0.5</v>
      </c>
      <c r="C14" s="19">
        <f>AVERAGE(C5:G5)</f>
        <v>19.5</v>
      </c>
      <c r="D14" s="19">
        <f>ROUND(_xlfn.STDEV.S(C5:G5),2)</f>
        <v>3.36</v>
      </c>
      <c r="H14" s="31"/>
    </row>
    <row r="15" spans="1:8">
      <c r="B15" s="19" t="s">
        <v>0</v>
      </c>
      <c r="C15" s="19">
        <f>'Control Pea Total Length'!E8</f>
        <v>29.18</v>
      </c>
      <c r="D15" s="19">
        <f>'Control Pea Total Length'!F8</f>
        <v>5.98</v>
      </c>
      <c r="E15" s="31"/>
      <c r="F15" s="31"/>
      <c r="G15" s="31"/>
      <c r="H15" s="31"/>
    </row>
    <row r="16" spans="1:8">
      <c r="H16" s="31"/>
    </row>
    <row r="17" spans="8:8">
      <c r="H17" s="31"/>
    </row>
  </sheetData>
  <mergeCells count="3">
    <mergeCell ref="A1:A5"/>
    <mergeCell ref="B9:B10"/>
    <mergeCell ref="C9:D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7"/>
  <sheetViews>
    <sheetView zoomScale="99" zoomScaleNormal="99" workbookViewId="0">
      <selection activeCell="K21" sqref="K21"/>
    </sheetView>
  </sheetViews>
  <sheetFormatPr defaultColWidth="9" defaultRowHeight="14.4"/>
  <cols>
    <col min="2" max="2" width="14.44140625" customWidth="1"/>
    <col min="3" max="39" width="9.6640625" customWidth="1"/>
  </cols>
  <sheetData>
    <row r="1" spans="1:8">
      <c r="A1" s="4" t="s">
        <v>15</v>
      </c>
      <c r="B1" s="29" t="s">
        <v>18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32" t="s">
        <v>11</v>
      </c>
    </row>
    <row r="2" spans="1:8">
      <c r="A2" s="4"/>
      <c r="B2" s="30">
        <v>0.1</v>
      </c>
      <c r="C2" s="13">
        <v>34.799999999999997</v>
      </c>
      <c r="D2" s="13">
        <v>37</v>
      </c>
      <c r="E2" s="13">
        <v>36.700000000000003</v>
      </c>
      <c r="F2" s="13">
        <v>32.6</v>
      </c>
      <c r="G2" s="13">
        <v>37.9</v>
      </c>
      <c r="H2" s="19">
        <f>AVERAGE(C2:G2)</f>
        <v>35.799999999999997</v>
      </c>
    </row>
    <row r="3" spans="1:8">
      <c r="A3" s="4"/>
      <c r="B3" s="30">
        <v>0.2</v>
      </c>
      <c r="C3" s="13">
        <v>38.4</v>
      </c>
      <c r="D3" s="13">
        <v>40.5</v>
      </c>
      <c r="E3" s="13">
        <v>39.5</v>
      </c>
      <c r="F3" s="13">
        <v>31</v>
      </c>
      <c r="G3" s="13">
        <v>33.5</v>
      </c>
      <c r="H3" s="19">
        <f>AVERAGE(C3:G3)</f>
        <v>36.58</v>
      </c>
    </row>
    <row r="4" spans="1:8">
      <c r="A4" s="4"/>
      <c r="B4" s="30">
        <v>0.3</v>
      </c>
      <c r="C4" s="13">
        <v>36</v>
      </c>
      <c r="D4" s="13">
        <v>35</v>
      </c>
      <c r="E4" s="13">
        <v>33</v>
      </c>
      <c r="F4" s="13">
        <v>37.5</v>
      </c>
      <c r="G4" s="13">
        <v>30.5</v>
      </c>
      <c r="H4" s="19">
        <f>AVERAGE(C4:G4)</f>
        <v>34.4</v>
      </c>
    </row>
    <row r="5" spans="1:8">
      <c r="A5" s="4"/>
      <c r="B5" s="30">
        <v>0.5</v>
      </c>
      <c r="C5" s="13">
        <v>27</v>
      </c>
      <c r="D5" s="13">
        <v>29</v>
      </c>
      <c r="E5" s="13">
        <v>22.4</v>
      </c>
      <c r="F5" s="13">
        <v>32</v>
      </c>
      <c r="G5" s="13">
        <v>24</v>
      </c>
      <c r="H5" s="19">
        <f>AVERAGE(C5:G5)</f>
        <v>26.880000000000003</v>
      </c>
    </row>
    <row r="7" spans="1:8">
      <c r="H7" s="40"/>
    </row>
    <row r="8" spans="1:8">
      <c r="H8" s="31"/>
    </row>
    <row r="9" spans="1:8" ht="14.25" customHeight="1">
      <c r="B9" s="3" t="s">
        <v>16</v>
      </c>
      <c r="C9" s="1" t="s">
        <v>15</v>
      </c>
      <c r="D9" s="1"/>
      <c r="H9" s="31"/>
    </row>
    <row r="10" spans="1:8" ht="14.25" customHeight="1">
      <c r="B10" s="3"/>
      <c r="C10" s="32" t="s">
        <v>11</v>
      </c>
      <c r="D10" s="32" t="s">
        <v>17</v>
      </c>
      <c r="H10" s="31"/>
    </row>
    <row r="11" spans="1:8" ht="14.25" customHeight="1">
      <c r="B11" s="30">
        <v>0.1</v>
      </c>
      <c r="C11" s="19">
        <f>AVERAGE(C2:G2)</f>
        <v>35.799999999999997</v>
      </c>
      <c r="D11" s="19">
        <f>ROUND(_xlfn.STDEV.S(C2:G2),2)</f>
        <v>2.12</v>
      </c>
      <c r="H11" s="31"/>
    </row>
    <row r="12" spans="1:8" ht="14.25" customHeight="1">
      <c r="B12" s="30">
        <v>0.2</v>
      </c>
      <c r="C12" s="19">
        <f>AVERAGE(C3:G3)</f>
        <v>36.58</v>
      </c>
      <c r="D12" s="19">
        <f>ROUND(_xlfn.STDEV.S(C3:G3),2)</f>
        <v>4.12</v>
      </c>
    </row>
    <row r="13" spans="1:8" ht="14.25" customHeight="1">
      <c r="B13" s="30">
        <v>0.3</v>
      </c>
      <c r="C13" s="19">
        <f>AVERAGE(C4:G4)</f>
        <v>34.4</v>
      </c>
      <c r="D13" s="19">
        <f>ROUND(_xlfn.STDEV.S(C4:G4),2)</f>
        <v>2.72</v>
      </c>
      <c r="H13" s="40"/>
    </row>
    <row r="14" spans="1:8" ht="14.25" customHeight="1">
      <c r="B14" s="30">
        <v>0.5</v>
      </c>
      <c r="C14" s="19">
        <f>AVERAGE(C5:G5)</f>
        <v>26.880000000000003</v>
      </c>
      <c r="D14" s="19">
        <f>ROUND(_xlfn.STDEV.S(C5:G5),2)</f>
        <v>3.84</v>
      </c>
      <c r="H14" s="31"/>
    </row>
    <row r="15" spans="1:8">
      <c r="B15" s="19" t="s">
        <v>0</v>
      </c>
      <c r="C15" s="19">
        <f>'Control Pea Total Length'!E8</f>
        <v>29.18</v>
      </c>
      <c r="D15" s="19">
        <f>'Control Pea Total Length'!F8</f>
        <v>5.98</v>
      </c>
      <c r="E15" s="31"/>
      <c r="F15" s="31"/>
      <c r="G15" s="31"/>
      <c r="H15" s="31"/>
    </row>
    <row r="16" spans="1:8">
      <c r="H16" s="31"/>
    </row>
    <row r="17" spans="8:8">
      <c r="H17" s="31"/>
    </row>
  </sheetData>
  <mergeCells count="3">
    <mergeCell ref="A1:A5"/>
    <mergeCell ref="B9:B10"/>
    <mergeCell ref="C9:D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7"/>
  <sheetViews>
    <sheetView zoomScale="99" zoomScaleNormal="99" workbookViewId="0">
      <selection activeCell="O15" sqref="O15"/>
    </sheetView>
  </sheetViews>
  <sheetFormatPr defaultColWidth="9" defaultRowHeight="14.4"/>
  <cols>
    <col min="2" max="2" width="14.44140625" customWidth="1"/>
    <col min="3" max="39" width="9.6640625" customWidth="1"/>
  </cols>
  <sheetData>
    <row r="1" spans="1:8">
      <c r="A1" s="4" t="s">
        <v>15</v>
      </c>
      <c r="B1" s="29" t="s">
        <v>18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32" t="s">
        <v>11</v>
      </c>
    </row>
    <row r="2" spans="1:8">
      <c r="A2" s="4"/>
      <c r="B2" s="30">
        <v>0.1</v>
      </c>
      <c r="C2" s="13">
        <v>38.5</v>
      </c>
      <c r="D2" s="13">
        <v>35</v>
      </c>
      <c r="E2" s="13">
        <v>35</v>
      </c>
      <c r="F2" s="13">
        <v>34</v>
      </c>
      <c r="G2" s="13">
        <v>35</v>
      </c>
      <c r="H2" s="19">
        <f>AVERAGE(C2:G2)</f>
        <v>35.5</v>
      </c>
    </row>
    <row r="3" spans="1:8">
      <c r="A3" s="4"/>
      <c r="B3" s="30">
        <v>0.2</v>
      </c>
      <c r="C3" s="13">
        <v>36.5</v>
      </c>
      <c r="D3" s="13">
        <v>38</v>
      </c>
      <c r="E3" s="13">
        <v>38</v>
      </c>
      <c r="F3" s="13">
        <v>35</v>
      </c>
      <c r="G3" s="13">
        <v>32</v>
      </c>
      <c r="H3" s="19">
        <f>AVERAGE(C3:G3)</f>
        <v>35.9</v>
      </c>
    </row>
    <row r="4" spans="1:8">
      <c r="A4" s="4"/>
      <c r="B4" s="30">
        <v>0.3</v>
      </c>
      <c r="C4" s="13">
        <v>31.5</v>
      </c>
      <c r="D4" s="13">
        <v>26.2</v>
      </c>
      <c r="E4" s="13">
        <v>34.5</v>
      </c>
      <c r="F4" s="13">
        <v>22.5</v>
      </c>
      <c r="G4" s="13">
        <v>26.7</v>
      </c>
      <c r="H4" s="19">
        <f>AVERAGE(C4:G4)</f>
        <v>28.28</v>
      </c>
    </row>
    <row r="5" spans="1:8">
      <c r="A5" s="4"/>
      <c r="B5" s="30">
        <v>0.5</v>
      </c>
      <c r="C5" s="13">
        <v>14.8</v>
      </c>
      <c r="D5" s="13">
        <v>18.5</v>
      </c>
      <c r="E5" s="13">
        <v>20.7</v>
      </c>
      <c r="F5" s="13">
        <v>19.399999999999999</v>
      </c>
      <c r="G5" s="13">
        <v>13.6</v>
      </c>
      <c r="H5" s="19">
        <f>AVERAGE(C5:G5)</f>
        <v>17.399999999999999</v>
      </c>
    </row>
    <row r="7" spans="1:8">
      <c r="H7" s="40"/>
    </row>
    <row r="8" spans="1:8">
      <c r="H8" s="31"/>
    </row>
    <row r="9" spans="1:8" ht="14.25" customHeight="1">
      <c r="B9" s="3" t="s">
        <v>16</v>
      </c>
      <c r="C9" s="1" t="s">
        <v>15</v>
      </c>
      <c r="D9" s="1"/>
      <c r="H9" s="31"/>
    </row>
    <row r="10" spans="1:8" ht="14.25" customHeight="1">
      <c r="B10" s="3"/>
      <c r="C10" s="32" t="s">
        <v>11</v>
      </c>
      <c r="D10" s="32" t="s">
        <v>17</v>
      </c>
      <c r="H10" s="31"/>
    </row>
    <row r="11" spans="1:8" ht="14.25" customHeight="1">
      <c r="B11" s="30">
        <v>0.1</v>
      </c>
      <c r="C11" s="19">
        <f>AVERAGE(C2:G2)</f>
        <v>35.5</v>
      </c>
      <c r="D11" s="19">
        <f>ROUND(_xlfn.STDEV.S(C2:G2),2)</f>
        <v>1.73</v>
      </c>
      <c r="H11" s="31"/>
    </row>
    <row r="12" spans="1:8" ht="14.25" customHeight="1">
      <c r="B12" s="30">
        <v>0.2</v>
      </c>
      <c r="C12" s="19">
        <f>AVERAGE(C3:G3)</f>
        <v>35.9</v>
      </c>
      <c r="D12" s="19">
        <f>ROUND(_xlfn.STDEV.S(C3:G3),2)</f>
        <v>2.5099999999999998</v>
      </c>
    </row>
    <row r="13" spans="1:8" ht="14.25" customHeight="1">
      <c r="B13" s="30">
        <v>0.3</v>
      </c>
      <c r="C13" s="19">
        <f>AVERAGE(C4:G4)</f>
        <v>28.28</v>
      </c>
      <c r="D13" s="19">
        <f>ROUND(_xlfn.STDEV.S(C4:G4),2)</f>
        <v>4.72</v>
      </c>
      <c r="H13" s="40"/>
    </row>
    <row r="14" spans="1:8" ht="14.25" customHeight="1">
      <c r="B14" s="30">
        <v>0.5</v>
      </c>
      <c r="C14" s="19">
        <f>AVERAGE(C5:G5)</f>
        <v>17.399999999999999</v>
      </c>
      <c r="D14" s="19">
        <f>ROUND(_xlfn.STDEV.S(C5:G5),2)</f>
        <v>3.05</v>
      </c>
      <c r="H14" s="31"/>
    </row>
    <row r="15" spans="1:8">
      <c r="B15" s="19" t="s">
        <v>0</v>
      </c>
      <c r="C15" s="19">
        <f>'Control Pea Total Length'!E8</f>
        <v>29.18</v>
      </c>
      <c r="D15" s="19">
        <f>'Control Pea Total Length'!F8</f>
        <v>5.98</v>
      </c>
      <c r="E15" s="31"/>
      <c r="F15" s="31"/>
      <c r="G15" s="31"/>
      <c r="H15" s="31"/>
    </row>
    <row r="16" spans="1:8">
      <c r="H16" s="31"/>
    </row>
    <row r="17" spans="8:8">
      <c r="H17" s="31"/>
    </row>
  </sheetData>
  <mergeCells count="3">
    <mergeCell ref="A1:A5"/>
    <mergeCell ref="B9:B10"/>
    <mergeCell ref="C9:D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Control Onion</vt:lpstr>
      <vt:lpstr>Acrostichum aureum</vt:lpstr>
      <vt:lpstr>Cyclosorus interruptus</vt:lpstr>
      <vt:lpstr>Ludwigia peruviana</vt:lpstr>
      <vt:lpstr>Quisqualis indica</vt:lpstr>
      <vt:lpstr>Control Pea Shoot</vt:lpstr>
      <vt:lpstr>Acrostichum shoot </vt:lpstr>
      <vt:lpstr>Quisqualis indica Shoot</vt:lpstr>
      <vt:lpstr>Ludwigia peruviana Shoot</vt:lpstr>
      <vt:lpstr>Cyclosorus interruptus Shoot</vt:lpstr>
      <vt:lpstr>Control Pea Root</vt:lpstr>
      <vt:lpstr>Acrostichum root (Pea)</vt:lpstr>
      <vt:lpstr>Quisqualis root (Pea)</vt:lpstr>
      <vt:lpstr>Ludwegia root (Pea) </vt:lpstr>
      <vt:lpstr>Cyclosorus root (Pea) </vt:lpstr>
      <vt:lpstr>Control Pea Total Length</vt:lpstr>
      <vt:lpstr>Cyclosorus TL (Pea)  </vt:lpstr>
      <vt:lpstr>Ludwegia TL(Pea) </vt:lpstr>
      <vt:lpstr>Acrostichum TL (Pea) </vt:lpstr>
      <vt:lpstr>Quisqualis TL (Pea)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Raj</dc:creator>
  <dc:description/>
  <cp:lastModifiedBy>Abhinav Raj</cp:lastModifiedBy>
  <cp:revision>1</cp:revision>
  <dcterms:created xsi:type="dcterms:W3CDTF">2026-05-06T10:26:00Z</dcterms:created>
  <dcterms:modified xsi:type="dcterms:W3CDTF">2026-06-16T06:13:20Z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CB63A46922A84EFE88666496FE0C1608_13</vt:lpwstr>
  </property>
  <property fmtid="{D5CDD505-2E9C-101B-9397-08002B2CF9AE}" pid="4" name="KSOProductBuildVer">
    <vt:lpwstr>1033-12.1.0.26372</vt:lpwstr>
  </property>
</Properties>
</file>