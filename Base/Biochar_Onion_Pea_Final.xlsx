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10"/>
  <workbookPr/>
  <xr:revisionPtr revIDLastSave="0" documentId="8_{880DC774-E4CD-42B5-AF0D-B63318110710}" xr6:coauthVersionLast="47" xr6:coauthVersionMax="47" xr10:uidLastSave="{00000000-0000-0000-0000-000000000000}"/>
  <bookViews>
    <workbookView xWindow="0" yWindow="0" windowWidth="18350" windowHeight="6800" firstSheet="13" activeTab="19" xr2:uid="{00000000-000D-0000-FFFF-FFFF00000000}"/>
  </bookViews>
  <sheets>
    <sheet name="Control Onion" sheetId="10" r:id="rId1"/>
    <sheet name="Acrostichum aureum" sheetId="3" r:id="rId2"/>
    <sheet name="Cyclosorus interruptus" sheetId="2" r:id="rId3"/>
    <sheet name="Ludwigia peruviana" sheetId="4" r:id="rId4"/>
    <sheet name="Quisqualis indica" sheetId="6" r:id="rId5"/>
    <sheet name="Control Pea Shoot" sheetId="16" r:id="rId6"/>
    <sheet name="Acrostichum shoot " sheetId="11" r:id="rId7"/>
    <sheet name="Quisqualis indica Shoot" sheetId="17" r:id="rId8"/>
    <sheet name="Ludwigia peruviana Shoot" sheetId="18" r:id="rId9"/>
    <sheet name="Cyclosorus interruptus Shoot" sheetId="19" r:id="rId10"/>
    <sheet name="Control Pea Root" sheetId="24" r:id="rId11"/>
    <sheet name="Acrostichum root (Pea)" sheetId="15" r:id="rId12"/>
    <sheet name="Quisqualis root (Pea)" sheetId="25" r:id="rId13"/>
    <sheet name="Ludwegia root (Pea) " sheetId="21" r:id="rId14"/>
    <sheet name="Cyclosorus root (Pea) " sheetId="22" r:id="rId15"/>
    <sheet name="Control Pea Total Length" sheetId="26" r:id="rId16"/>
    <sheet name="Cyclosorus TL (Pea)  " sheetId="27" r:id="rId17"/>
    <sheet name="Ludwegia TL(Pea) " sheetId="28" r:id="rId18"/>
    <sheet name="Quisqualis TL (Pea)" sheetId="29" r:id="rId19"/>
    <sheet name="Acrostichum TL (Pea) " sheetId="30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30" l="1"/>
  <c r="C14" i="30"/>
  <c r="D13" i="30"/>
  <c r="C13" i="30"/>
  <c r="D12" i="30"/>
  <c r="C12" i="30"/>
  <c r="D11" i="30"/>
  <c r="C11" i="30"/>
  <c r="D14" i="29"/>
  <c r="C14" i="29"/>
  <c r="D13" i="29"/>
  <c r="C13" i="29"/>
  <c r="D12" i="29"/>
  <c r="C12" i="29"/>
  <c r="D11" i="29"/>
  <c r="C11" i="29"/>
  <c r="D14" i="28"/>
  <c r="C14" i="28"/>
  <c r="D13" i="28"/>
  <c r="C13" i="28"/>
  <c r="D12" i="28"/>
  <c r="C12" i="28"/>
  <c r="D11" i="28"/>
  <c r="C11" i="28"/>
  <c r="D14" i="27"/>
  <c r="C14" i="27"/>
  <c r="D13" i="27"/>
  <c r="C13" i="27"/>
  <c r="D12" i="27"/>
  <c r="C12" i="27"/>
  <c r="D11" i="27"/>
  <c r="C11" i="27"/>
  <c r="F8" i="26"/>
  <c r="E8" i="26"/>
  <c r="D14" i="22"/>
  <c r="C14" i="22"/>
  <c r="D13" i="22"/>
  <c r="C13" i="22"/>
  <c r="D12" i="22"/>
  <c r="C12" i="22"/>
  <c r="D11" i="22"/>
  <c r="C11" i="22"/>
  <c r="D14" i="25"/>
  <c r="C14" i="25"/>
  <c r="D13" i="25"/>
  <c r="C13" i="25"/>
  <c r="D12" i="25"/>
  <c r="C12" i="25"/>
  <c r="D11" i="25"/>
  <c r="C11" i="25"/>
  <c r="N21" i="15"/>
  <c r="D14" i="15"/>
  <c r="C14" i="15"/>
  <c r="D13" i="15"/>
  <c r="C13" i="15"/>
  <c r="D12" i="15"/>
  <c r="C12" i="15"/>
  <c r="D11" i="15"/>
  <c r="C11" i="15"/>
  <c r="F8" i="24"/>
  <c r="E8" i="24"/>
  <c r="D15" i="19"/>
  <c r="C15" i="19"/>
  <c r="D14" i="19"/>
  <c r="C14" i="19"/>
  <c r="D13" i="19"/>
  <c r="C13" i="19"/>
  <c r="D12" i="19"/>
  <c r="C12" i="19"/>
  <c r="D15" i="18"/>
  <c r="C15" i="18"/>
  <c r="D14" i="18"/>
  <c r="C14" i="18"/>
  <c r="D13" i="18"/>
  <c r="C13" i="18"/>
  <c r="D12" i="18"/>
  <c r="C12" i="18"/>
  <c r="D15" i="17"/>
  <c r="C15" i="17"/>
  <c r="D14" i="17"/>
  <c r="C14" i="17"/>
  <c r="D13" i="17"/>
  <c r="C13" i="17"/>
  <c r="D12" i="17"/>
  <c r="C12" i="17"/>
  <c r="D15" i="11"/>
  <c r="C15" i="11"/>
  <c r="D14" i="11"/>
  <c r="C14" i="11"/>
  <c r="D13" i="11"/>
  <c r="C13" i="11"/>
  <c r="D12" i="11"/>
  <c r="C12" i="11"/>
  <c r="F8" i="16"/>
  <c r="E8" i="16"/>
  <c r="H25" i="6"/>
  <c r="G25" i="6"/>
  <c r="F25" i="6"/>
  <c r="E25" i="6"/>
  <c r="D25" i="6"/>
  <c r="C25" i="6"/>
  <c r="H24" i="6"/>
  <c r="G24" i="6"/>
  <c r="F24" i="6"/>
  <c r="E24" i="6"/>
  <c r="D24" i="6"/>
  <c r="C24" i="6"/>
  <c r="H23" i="6"/>
  <c r="G23" i="6"/>
  <c r="F23" i="6"/>
  <c r="E23" i="6"/>
  <c r="D23" i="6"/>
  <c r="C23" i="6"/>
  <c r="H22" i="6"/>
  <c r="G22" i="6"/>
  <c r="F22" i="6"/>
  <c r="E22" i="6"/>
  <c r="D22" i="6"/>
  <c r="C22" i="6"/>
  <c r="M17" i="6"/>
  <c r="M16" i="6"/>
  <c r="M15" i="6"/>
  <c r="M14" i="6"/>
  <c r="M11" i="6"/>
  <c r="M10" i="6"/>
  <c r="M9" i="6"/>
  <c r="M8" i="6"/>
  <c r="M5" i="6"/>
  <c r="M4" i="6"/>
  <c r="M3" i="6"/>
  <c r="M2" i="6"/>
  <c r="H25" i="4"/>
  <c r="G25" i="4"/>
  <c r="F25" i="4"/>
  <c r="E25" i="4"/>
  <c r="D25" i="4"/>
  <c r="C25" i="4"/>
  <c r="H24" i="4"/>
  <c r="G24" i="4"/>
  <c r="F24" i="4"/>
  <c r="E24" i="4"/>
  <c r="D24" i="4"/>
  <c r="C24" i="4"/>
  <c r="H23" i="4"/>
  <c r="G23" i="4"/>
  <c r="F23" i="4"/>
  <c r="E23" i="4"/>
  <c r="D23" i="4"/>
  <c r="C23" i="4"/>
  <c r="H22" i="4"/>
  <c r="G22" i="4"/>
  <c r="F22" i="4"/>
  <c r="E22" i="4"/>
  <c r="D22" i="4"/>
  <c r="C22" i="4"/>
  <c r="M17" i="4"/>
  <c r="M16" i="4"/>
  <c r="M15" i="4"/>
  <c r="M14" i="4"/>
  <c r="M11" i="4"/>
  <c r="M10" i="4"/>
  <c r="M9" i="4"/>
  <c r="M8" i="4"/>
  <c r="M5" i="4"/>
  <c r="M4" i="4"/>
  <c r="M3" i="4"/>
  <c r="M2" i="4"/>
  <c r="H25" i="2"/>
  <c r="G25" i="2"/>
  <c r="F25" i="2"/>
  <c r="E25" i="2"/>
  <c r="D25" i="2"/>
  <c r="C25" i="2"/>
  <c r="H24" i="2"/>
  <c r="G24" i="2"/>
  <c r="F24" i="2"/>
  <c r="E24" i="2"/>
  <c r="D24" i="2"/>
  <c r="C24" i="2"/>
  <c r="H23" i="2"/>
  <c r="G23" i="2"/>
  <c r="F23" i="2"/>
  <c r="E23" i="2"/>
  <c r="D23" i="2"/>
  <c r="C23" i="2"/>
  <c r="H22" i="2"/>
  <c r="G22" i="2"/>
  <c r="F22" i="2"/>
  <c r="E22" i="2"/>
  <c r="D22" i="2"/>
  <c r="C22" i="2"/>
  <c r="H25" i="3"/>
  <c r="G25" i="3"/>
  <c r="F25" i="3"/>
  <c r="E25" i="3"/>
  <c r="D25" i="3"/>
  <c r="C25" i="3"/>
  <c r="H24" i="3"/>
  <c r="G24" i="3"/>
  <c r="F24" i="3"/>
  <c r="E24" i="3"/>
  <c r="D24" i="3"/>
  <c r="C24" i="3"/>
  <c r="H23" i="3"/>
  <c r="G23" i="3"/>
  <c r="F23" i="3"/>
  <c r="E23" i="3"/>
  <c r="D23" i="3"/>
  <c r="C23" i="3"/>
  <c r="H22" i="3"/>
  <c r="G22" i="3"/>
  <c r="F22" i="3"/>
  <c r="E22" i="3"/>
  <c r="D22" i="3"/>
  <c r="C22" i="3"/>
  <c r="J10" i="10"/>
  <c r="I10" i="10"/>
  <c r="H10" i="10"/>
  <c r="G10" i="10"/>
  <c r="F10" i="10"/>
  <c r="E10" i="10"/>
  <c r="D15" i="21"/>
  <c r="C15" i="21"/>
  <c r="D14" i="21"/>
  <c r="C14" i="21"/>
  <c r="D13" i="21"/>
  <c r="C13" i="21"/>
  <c r="D12" i="21"/>
  <c r="C12" i="21"/>
  <c r="D11" i="21"/>
  <c r="C11" i="21"/>
  <c r="C15" i="30" l="1"/>
  <c r="C15" i="29"/>
  <c r="C15" i="28"/>
  <c r="C15" i="27"/>
  <c r="D15" i="30"/>
  <c r="D15" i="29"/>
  <c r="D15" i="28"/>
  <c r="D15" i="27"/>
  <c r="C15" i="22"/>
  <c r="C15" i="25"/>
  <c r="C15" i="15"/>
  <c r="D15" i="22"/>
  <c r="D15" i="25"/>
  <c r="D15" i="15"/>
  <c r="C16" i="19"/>
  <c r="C16" i="18"/>
  <c r="C16" i="17"/>
  <c r="C16" i="11"/>
  <c r="D16" i="19"/>
  <c r="D16" i="18"/>
  <c r="D16" i="17"/>
  <c r="D16" i="11"/>
  <c r="C26" i="6"/>
  <c r="C26" i="4"/>
  <c r="C26" i="2"/>
  <c r="C26" i="3"/>
  <c r="D26" i="6"/>
  <c r="D26" i="4"/>
  <c r="D26" i="2"/>
  <c r="D26" i="3"/>
  <c r="E26" i="6"/>
  <c r="E26" i="4"/>
  <c r="E26" i="2"/>
  <c r="E26" i="3"/>
  <c r="F26" i="6"/>
  <c r="F26" i="4"/>
  <c r="F26" i="2"/>
  <c r="F26" i="3"/>
  <c r="G26" i="6"/>
  <c r="G26" i="4"/>
  <c r="G26" i="2"/>
  <c r="G26" i="3"/>
  <c r="H26" i="6"/>
  <c r="H26" i="4"/>
  <c r="H26" i="2"/>
  <c r="H26" i="3"/>
</calcChain>
</file>

<file path=xl/sharedStrings.xml><?xml version="1.0" encoding="utf-8"?>
<sst xmlns="http://schemas.openxmlformats.org/spreadsheetml/2006/main" count="404" uniqueCount="30">
  <si>
    <t>Control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</si>
  <si>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</si>
  <si>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</si>
  <si>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</si>
  <si>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</si>
  <si>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</si>
  <si>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</si>
  <si>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</si>
  <si>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</si>
  <si>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</si>
  <si>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</si>
  <si>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Day 3</t>
  </si>
  <si>
    <t>0.1,0.2,0.3, 0.5</t>
  </si>
  <si>
    <t>Day 5</t>
  </si>
  <si>
    <t>Day 7</t>
  </si>
  <si>
    <t>Biochar Concentration</t>
  </si>
  <si>
    <t>Mean</t>
  </si>
  <si>
    <t>SD</t>
  </si>
  <si>
    <t>Concentration</t>
  </si>
  <si>
    <t>S1</t>
  </si>
  <si>
    <t>S2</t>
  </si>
  <si>
    <t>S3</t>
  </si>
  <si>
    <t>S4</t>
  </si>
  <si>
    <t>S5</t>
  </si>
  <si>
    <t>Shoot1</t>
  </si>
  <si>
    <t>Shoot2</t>
  </si>
  <si>
    <t>Shoot3</t>
  </si>
  <si>
    <t>Shoot4</t>
  </si>
  <si>
    <t>Shoot5</t>
  </si>
  <si>
    <t xml:space="preserve">Control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</si>
</sst>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Border="1" applyAlignment="1">
      <alignment horizontal="center"/>
    </xf>
    <xf numFmtId="0" fontId="0" fillId="0" borderId="2" xfId="0" applyBorder="1" applyAlignment="1">
      <alignment vertical="center" wrapText="1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2" borderId="0" xfId="0" applyFill="1"/>
    <xf numFmtId="0" fontId="0" fillId="3" borderId="4" xfId="0" applyFill="1" applyBorder="1" applyAlignment="1">
      <alignment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Acrostichum aureum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'Acrostichum aureum'!$C$20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'Acrostichum aureum'!$D$22:$D$26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0.6</c:v>
                  </c:pt>
                  <c:pt idx="2">
                    <c:v>0.2</c:v>
                  </c:pt>
                  <c:pt idx="3">
                    <c:v>0.41</c:v>
                  </c:pt>
                  <c:pt idx="4">
                    <c:v>0.37</c:v>
                  </c:pt>
                </c:numCache>
              </c:numRef>
            </c:plus>
            <c:minus>
              <c:numRef>
                <c:f>'Acrostichum aureum'!$D$22:$D$26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0.6</c:v>
                  </c:pt>
                  <c:pt idx="2">
                    <c:v>0.2</c:v>
                  </c:pt>
                  <c:pt idx="3">
                    <c:v>0.41</c:v>
                  </c:pt>
                  <c:pt idx="4">
                    <c:v>0.37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'Acrostichum aureum'!$B$22:$B$26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aureum'!$C$22:$C$26</c:f>
              <c:numCache>
                <c:formatCode>General</c:formatCode>
                <c:ptCount val="5"/>
                <c:pt idx="0">
                  <c:v>0</c:v>
                </c:pt>
                <c:pt idx="1">
                  <c:v>2.37</c:v>
                </c:pt>
                <c:pt idx="2">
                  <c:v>2.1900000000000004</c:v>
                </c:pt>
                <c:pt idx="3">
                  <c:v>2.5800000000000005</c:v>
                </c:pt>
                <c:pt idx="4">
                  <c:v>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EC-47F3-8C81-1ED9F90659AC}"/>
            </c:ext>
          </c:extLst>
        </c:ser>
        <c:ser>
          <c:idx val="1"/>
          <c:order val="1"/>
          <c:tx>
            <c:strRef>
              <c:f>'Acrostichum aureum'!$E$20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'Acrostichum aureum'!$F$22:$F$26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0.35</c:v>
                  </c:pt>
                  <c:pt idx="2">
                    <c:v>0.5</c:v>
                  </c:pt>
                  <c:pt idx="3">
                    <c:v>0.35</c:v>
                  </c:pt>
                  <c:pt idx="4">
                    <c:v>0.56999999999999995</c:v>
                  </c:pt>
                </c:numCache>
              </c:numRef>
            </c:plus>
            <c:minus>
              <c:numRef>
                <c:f>'Acrostichum aureum'!$F$22:$F$26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0.35</c:v>
                  </c:pt>
                  <c:pt idx="2">
                    <c:v>0.5</c:v>
                  </c:pt>
                  <c:pt idx="3">
                    <c:v>0.35</c:v>
                  </c:pt>
                  <c:pt idx="4">
                    <c:v>0.56999999999999995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'Acrostichum aureum'!$B$22:$B$26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aureum'!$E$22:$E$26</c:f>
              <c:numCache>
                <c:formatCode>General</c:formatCode>
                <c:ptCount val="5"/>
                <c:pt idx="0">
                  <c:v>0</c:v>
                </c:pt>
                <c:pt idx="1">
                  <c:v>5.14</c:v>
                </c:pt>
                <c:pt idx="2">
                  <c:v>5</c:v>
                </c:pt>
                <c:pt idx="3">
                  <c:v>5.54</c:v>
                </c:pt>
                <c:pt idx="4">
                  <c:v>4.1300000000000008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EC-47F3-8C81-1ED9F90659AC}"/>
            </c:ext>
          </c:extLst>
        </c:ser>
        <c:ser>
          <c:idx val="2"/>
          <c:order val="2"/>
          <c:tx>
            <c:strRef>
              <c:f>'Acrostichum aureum'!$G$20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'Acrostichum aureum'!$H$22:$H$26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0.53</c:v>
                  </c:pt>
                  <c:pt idx="2">
                    <c:v>0.45</c:v>
                  </c:pt>
                  <c:pt idx="3">
                    <c:v>0.54</c:v>
                  </c:pt>
                  <c:pt idx="4">
                    <c:v>0.48</c:v>
                  </c:pt>
                </c:numCache>
              </c:numRef>
            </c:plus>
            <c:minus>
              <c:numRef>
                <c:f>'Acrostichum aureum'!$H$22:$H$26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0.53</c:v>
                  </c:pt>
                  <c:pt idx="2">
                    <c:v>0.45</c:v>
                  </c:pt>
                  <c:pt idx="3">
                    <c:v>0.54</c:v>
                  </c:pt>
                  <c:pt idx="4">
                    <c:v>0.48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'Acrostichum aureum'!$B$22:$B$26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aureum'!$G$22:$G$26</c:f>
              <c:numCache>
                <c:formatCode>General</c:formatCode>
                <c:ptCount val="5"/>
                <c:pt idx="0">
                  <c:v>0</c:v>
                </c:pt>
                <c:pt idx="1">
                  <c:v>6.36</c:v>
                </c:pt>
                <c:pt idx="2">
                  <c:v>7.3899999999999988</c:v>
                </c:pt>
                <c:pt idx="3">
                  <c:v>7.5400000000000009</c:v>
                </c:pt>
                <c:pt idx="4">
                  <c:v>5.61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EC-47F3-8C81-1ED9F90659A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defRPr>
                </a:pPr>
                <a:r>
                  <a:rPr lang="en-US"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rPr>
                  <a:t>Root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charset="0"/>
                  <a:ea typeface="Times New Roman" panose="02020603050405020304" charset="0"/>
                  <a:cs typeface="Times New Roman" panose="02020603050405020304" charset="0"/>
                  <a:sym typeface="Times New Roman" panose="0202060305040502030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4ae868c-206c-4f6f-a892-0f0be056ea7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Cyclosorus interruptus</a:t>
            </a:r>
          </a:p>
          <a:p>
            <a:pPr>
              <a:defRPr/>
            </a:pPr>
            <a:endParaRPr lang="en-US" b="1">
              <a:latin typeface="Times New Roman" panose="02020603050405020304" charset="0"/>
              <a:cs typeface="Times New Roman" panose="0202060305040502030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'Cyclosorus interruptus'!$C$20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'Cyclosorus interruptus'!$D$22:$D$26</c:f>
                <c:numCache>
                  <c:formatCode>General</c:formatCode>
                  <c:ptCount val="5"/>
                  <c:pt idx="0">
                    <c:v>0.28000000000000003</c:v>
                  </c:pt>
                  <c:pt idx="1">
                    <c:v>0.36</c:v>
                  </c:pt>
                  <c:pt idx="2">
                    <c:v>0.31</c:v>
                  </c:pt>
                  <c:pt idx="3">
                    <c:v>0.19</c:v>
                  </c:pt>
                  <c:pt idx="4">
                    <c:v>0.37</c:v>
                  </c:pt>
                </c:numCache>
              </c:numRef>
            </c:plus>
            <c:minus>
              <c:numRef>
                <c:f>'Cyclosorus interruptus'!$D$22:$D$26</c:f>
                <c:numCache>
                  <c:formatCode>General</c:formatCode>
                  <c:ptCount val="5"/>
                  <c:pt idx="0">
                    <c:v>0.28000000000000003</c:v>
                  </c:pt>
                  <c:pt idx="1">
                    <c:v>0.36</c:v>
                  </c:pt>
                  <c:pt idx="2">
                    <c:v>0.31</c:v>
                  </c:pt>
                  <c:pt idx="3">
                    <c:v>0.19</c:v>
                  </c:pt>
                  <c:pt idx="4">
                    <c:v>0.37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'Cyclosorus interruptus'!$B$22:$B$26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interruptus'!$C$22:$C$26</c:f>
              <c:numCache>
                <c:formatCode>General</c:formatCode>
                <c:ptCount val="5"/>
                <c:pt idx="0">
                  <c:v>1.2600000000000002</c:v>
                </c:pt>
                <c:pt idx="1">
                  <c:v>1.5</c:v>
                </c:pt>
                <c:pt idx="2">
                  <c:v>1.92</c:v>
                </c:pt>
                <c:pt idx="3">
                  <c:v>2.77</c:v>
                </c:pt>
                <c:pt idx="4">
                  <c:v>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89-406F-92E0-A9DAE4EABB89}"/>
            </c:ext>
          </c:extLst>
        </c:ser>
        <c:ser>
          <c:idx val="1"/>
          <c:order val="1"/>
          <c:tx>
            <c:strRef>
              <c:f>'Cyclosorus interruptus'!$E$20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'Cyclosorus interruptus'!$F$22:$F$26</c:f>
                <c:numCache>
                  <c:formatCode>General</c:formatCode>
                  <c:ptCount val="5"/>
                  <c:pt idx="0">
                    <c:v>0.49</c:v>
                  </c:pt>
                  <c:pt idx="1">
                    <c:v>0.52</c:v>
                  </c:pt>
                  <c:pt idx="2">
                    <c:v>0.47</c:v>
                  </c:pt>
                  <c:pt idx="3">
                    <c:v>0.43</c:v>
                  </c:pt>
                  <c:pt idx="4">
                    <c:v>0.56999999999999995</c:v>
                  </c:pt>
                </c:numCache>
              </c:numRef>
            </c:plus>
            <c:minus>
              <c:numRef>
                <c:f>'Cyclosorus interruptus'!$F$22:$F$26</c:f>
                <c:numCache>
                  <c:formatCode>General</c:formatCode>
                  <c:ptCount val="5"/>
                  <c:pt idx="0">
                    <c:v>0.49</c:v>
                  </c:pt>
                  <c:pt idx="1">
                    <c:v>0.52</c:v>
                  </c:pt>
                  <c:pt idx="2">
                    <c:v>0.47</c:v>
                  </c:pt>
                  <c:pt idx="3">
                    <c:v>0.43</c:v>
                  </c:pt>
                  <c:pt idx="4">
                    <c:v>0.56999999999999995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'Cyclosorus interruptus'!$B$22:$B$26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interruptus'!$E$22:$E$26</c:f>
              <c:numCache>
                <c:formatCode>General</c:formatCode>
                <c:ptCount val="5"/>
                <c:pt idx="0">
                  <c:v>2.3500000000000005</c:v>
                </c:pt>
                <c:pt idx="1">
                  <c:v>2.9200000000000004</c:v>
                </c:pt>
                <c:pt idx="2">
                  <c:v>3.7700000000000005</c:v>
                </c:pt>
                <c:pt idx="3">
                  <c:v>5.6899999999999995</c:v>
                </c:pt>
                <c:pt idx="4">
                  <c:v>4.1300000000000008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9-406F-92E0-A9DAE4EABB89}"/>
            </c:ext>
          </c:extLst>
        </c:ser>
        <c:ser>
          <c:idx val="2"/>
          <c:order val="2"/>
          <c:tx>
            <c:strRef>
              <c:f>'Cyclosorus interruptus'!$G$20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'Cyclosorus interruptus'!$H$22:$H$26</c:f>
                <c:numCache>
                  <c:formatCode>General</c:formatCode>
                  <c:ptCount val="5"/>
                  <c:pt idx="0">
                    <c:v>0.86</c:v>
                  </c:pt>
                  <c:pt idx="1">
                    <c:v>0.62</c:v>
                  </c:pt>
                  <c:pt idx="2">
                    <c:v>0.52</c:v>
                  </c:pt>
                  <c:pt idx="3">
                    <c:v>1.03</c:v>
                  </c:pt>
                  <c:pt idx="4">
                    <c:v>0.48</c:v>
                  </c:pt>
                </c:numCache>
              </c:numRef>
            </c:plus>
            <c:minus>
              <c:numRef>
                <c:f>'Cyclosorus interruptus'!$H$22:$H$26</c:f>
                <c:numCache>
                  <c:formatCode>General</c:formatCode>
                  <c:ptCount val="5"/>
                  <c:pt idx="0">
                    <c:v>0.86</c:v>
                  </c:pt>
                  <c:pt idx="1">
                    <c:v>0.62</c:v>
                  </c:pt>
                  <c:pt idx="2">
                    <c:v>0.52</c:v>
                  </c:pt>
                  <c:pt idx="3">
                    <c:v>1.03</c:v>
                  </c:pt>
                  <c:pt idx="4">
                    <c:v>0.48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'Cyclosorus interruptus'!$B$22:$B$26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interruptus'!$G$22:$G$26</c:f>
              <c:numCache>
                <c:formatCode>General</c:formatCode>
                <c:ptCount val="5"/>
                <c:pt idx="0">
                  <c:v>3.2399999999999998</c:v>
                </c:pt>
                <c:pt idx="1">
                  <c:v>3.79</c:v>
                </c:pt>
                <c:pt idx="2">
                  <c:v>4.8800000000000008</c:v>
                </c:pt>
                <c:pt idx="3">
                  <c:v>7.1599999999999993</c:v>
                </c:pt>
                <c:pt idx="4">
                  <c:v>5.61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9-406F-92E0-A9DAE4EABB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Ludwigia peruviana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'Ludwigia peruviana'!$C$20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'Ludwigia peruviana'!$D$22:$D$26</c:f>
                <c:numCache>
                  <c:formatCode>General</c:formatCode>
                  <c:ptCount val="5"/>
                  <c:pt idx="0">
                    <c:v>0.47</c:v>
                  </c:pt>
                  <c:pt idx="1">
                    <c:v>0.19</c:v>
                  </c:pt>
                  <c:pt idx="2">
                    <c:v>0.26</c:v>
                  </c:pt>
                  <c:pt idx="3">
                    <c:v>0.73</c:v>
                  </c:pt>
                  <c:pt idx="4">
                    <c:v>0.37</c:v>
                  </c:pt>
                </c:numCache>
              </c:numRef>
            </c:plus>
            <c:minus>
              <c:numRef>
                <c:f>'Ludwigia peruviana'!$D$22:$D$26</c:f>
                <c:numCache>
                  <c:formatCode>General</c:formatCode>
                  <c:ptCount val="5"/>
                  <c:pt idx="0">
                    <c:v>0.47</c:v>
                  </c:pt>
                  <c:pt idx="1">
                    <c:v>0.19</c:v>
                  </c:pt>
                  <c:pt idx="2">
                    <c:v>0.26</c:v>
                  </c:pt>
                  <c:pt idx="3">
                    <c:v>0.73</c:v>
                  </c:pt>
                  <c:pt idx="4">
                    <c:v>0.37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'Ludwigia peruviana'!$B$22:$B$26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peruviana'!$C$22:$C$26</c:f>
              <c:numCache>
                <c:formatCode>General</c:formatCode>
                <c:ptCount val="5"/>
                <c:pt idx="0">
                  <c:v>2.34</c:v>
                </c:pt>
                <c:pt idx="1">
                  <c:v>1.93</c:v>
                </c:pt>
                <c:pt idx="2">
                  <c:v>2.02</c:v>
                </c:pt>
                <c:pt idx="3">
                  <c:v>2.34</c:v>
                </c:pt>
                <c:pt idx="4">
                  <c:v>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7-411B-9B90-F6C8A3F9E652}"/>
            </c:ext>
          </c:extLst>
        </c:ser>
        <c:ser>
          <c:idx val="1"/>
          <c:order val="1"/>
          <c:tx>
            <c:strRef>
              <c:f>'Ludwigia peruviana'!$E$20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'Ludwigia peruviana'!$F$22:$F$26</c:f>
                <c:numCache>
                  <c:formatCode>General</c:formatCode>
                  <c:ptCount val="5"/>
                  <c:pt idx="0">
                    <c:v>0.64</c:v>
                  </c:pt>
                  <c:pt idx="1">
                    <c:v>0.52</c:v>
                  </c:pt>
                  <c:pt idx="2">
                    <c:v>0.42</c:v>
                  </c:pt>
                  <c:pt idx="3">
                    <c:v>1.2</c:v>
                  </c:pt>
                  <c:pt idx="4">
                    <c:v>0.56999999999999995</c:v>
                  </c:pt>
                </c:numCache>
              </c:numRef>
            </c:plus>
            <c:minus>
              <c:numRef>
                <c:f>'Ludwigia peruviana'!$F$22:$F$26</c:f>
                <c:numCache>
                  <c:formatCode>General</c:formatCode>
                  <c:ptCount val="5"/>
                  <c:pt idx="0">
                    <c:v>0.64</c:v>
                  </c:pt>
                  <c:pt idx="1">
                    <c:v>0.52</c:v>
                  </c:pt>
                  <c:pt idx="2">
                    <c:v>0.42</c:v>
                  </c:pt>
                  <c:pt idx="3">
                    <c:v>1.2</c:v>
                  </c:pt>
                  <c:pt idx="4">
                    <c:v>0.56999999999999995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'Ludwigia peruviana'!$B$22:$B$26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peruviana'!$E$22:$E$26</c:f>
              <c:numCache>
                <c:formatCode>General</c:formatCode>
                <c:ptCount val="5"/>
                <c:pt idx="0">
                  <c:v>5.27</c:v>
                </c:pt>
                <c:pt idx="1">
                  <c:v>3.85</c:v>
                </c:pt>
                <c:pt idx="2">
                  <c:v>5.99</c:v>
                </c:pt>
                <c:pt idx="3">
                  <c:v>6.13</c:v>
                </c:pt>
                <c:pt idx="4">
                  <c:v>4.1300000000000008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7-411B-9B90-F6C8A3F9E652}"/>
            </c:ext>
          </c:extLst>
        </c:ser>
        <c:ser>
          <c:idx val="2"/>
          <c:order val="2"/>
          <c:tx>
            <c:strRef>
              <c:f>'Ludwigia peruviana'!$G$20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'Ludwigia peruviana'!$H$22:$H$26</c:f>
                <c:numCache>
                  <c:formatCode>General</c:formatCode>
                  <c:ptCount val="5"/>
                  <c:pt idx="0">
                    <c:v>0.7</c:v>
                  </c:pt>
                  <c:pt idx="1">
                    <c:v>0.5</c:v>
                  </c:pt>
                  <c:pt idx="2">
                    <c:v>0.67</c:v>
                  </c:pt>
                  <c:pt idx="3">
                    <c:v>0.91</c:v>
                  </c:pt>
                  <c:pt idx="4">
                    <c:v>0.48</c:v>
                  </c:pt>
                </c:numCache>
              </c:numRef>
            </c:plus>
            <c:minus>
              <c:numRef>
                <c:f>'Ludwigia peruviana'!$H$22:$H$26</c:f>
                <c:numCache>
                  <c:formatCode>General</c:formatCode>
                  <c:ptCount val="5"/>
                  <c:pt idx="0">
                    <c:v>0.7</c:v>
                  </c:pt>
                  <c:pt idx="1">
                    <c:v>0.5</c:v>
                  </c:pt>
                  <c:pt idx="2">
                    <c:v>0.67</c:v>
                  </c:pt>
                  <c:pt idx="3">
                    <c:v>0.91</c:v>
                  </c:pt>
                  <c:pt idx="4">
                    <c:v>0.48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'Ludwigia peruviana'!$B$22:$B$26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peruviana'!$G$22:$G$26</c:f>
              <c:numCache>
                <c:formatCode>General</c:formatCode>
                <c:ptCount val="5"/>
                <c:pt idx="0">
                  <c:v>5.82</c:v>
                </c:pt>
                <c:pt idx="1">
                  <c:v>4.2300000000000004</c:v>
                </c:pt>
                <c:pt idx="2">
                  <c:v>7.29</c:v>
                </c:pt>
                <c:pt idx="3">
                  <c:v>6.5</c:v>
                </c:pt>
                <c:pt idx="4">
                  <c:v>5.61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7-411B-9B90-F6C8A3F9E65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Quisqualis indica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'Quisqualis indica'!$C$20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'Quisqualis indica'!$D$22:$D$26</c:f>
                <c:numCache>
                  <c:formatCode>General</c:formatCode>
                  <c:ptCount val="5"/>
                  <c:pt idx="0">
                    <c:v>0.31</c:v>
                  </c:pt>
                  <c:pt idx="1">
                    <c:v>0.77</c:v>
                  </c:pt>
                  <c:pt idx="2">
                    <c:v>0.23</c:v>
                  </c:pt>
                  <c:pt idx="3">
                    <c:v>0.3</c:v>
                  </c:pt>
                  <c:pt idx="4">
                    <c:v>0.37</c:v>
                  </c:pt>
                </c:numCache>
              </c:numRef>
            </c:plus>
            <c:minus>
              <c:numRef>
                <c:f>'Quisqualis indica'!$D$22:$D$26</c:f>
                <c:numCache>
                  <c:formatCode>General</c:formatCode>
                  <c:ptCount val="5"/>
                  <c:pt idx="0">
                    <c:v>0.31</c:v>
                  </c:pt>
                  <c:pt idx="1">
                    <c:v>0.77</c:v>
                  </c:pt>
                  <c:pt idx="2">
                    <c:v>0.23</c:v>
                  </c:pt>
                  <c:pt idx="3">
                    <c:v>0.3</c:v>
                  </c:pt>
                  <c:pt idx="4">
                    <c:v>0.37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'Quisqualis indica'!$B$22:$B$26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indica'!$C$22:$C$26</c:f>
              <c:numCache>
                <c:formatCode>General</c:formatCode>
                <c:ptCount val="5"/>
                <c:pt idx="0">
                  <c:v>1.71</c:v>
                </c:pt>
                <c:pt idx="1">
                  <c:v>1.99</c:v>
                </c:pt>
                <c:pt idx="2">
                  <c:v>1.92</c:v>
                </c:pt>
                <c:pt idx="3">
                  <c:v>2.0099999999999998</c:v>
                </c:pt>
                <c:pt idx="4">
                  <c:v>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9F-4C2E-89BA-B33C416C7F7B}"/>
            </c:ext>
          </c:extLst>
        </c:ser>
        <c:ser>
          <c:idx val="1"/>
          <c:order val="1"/>
          <c:tx>
            <c:strRef>
              <c:f>'Quisqualis indica'!$E$20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'Quisqualis indica'!$F$22:$F$26</c:f>
                <c:numCache>
                  <c:formatCode>General</c:formatCode>
                  <c:ptCount val="5"/>
                  <c:pt idx="0">
                    <c:v>0.87</c:v>
                  </c:pt>
                  <c:pt idx="1">
                    <c:v>0.57999999999999996</c:v>
                  </c:pt>
                  <c:pt idx="2">
                    <c:v>0.44</c:v>
                  </c:pt>
                  <c:pt idx="3">
                    <c:v>0.6</c:v>
                  </c:pt>
                  <c:pt idx="4">
                    <c:v>0.56999999999999995</c:v>
                  </c:pt>
                </c:numCache>
              </c:numRef>
            </c:plus>
            <c:minus>
              <c:numRef>
                <c:f>'Quisqualis indica'!$F$22:$F$26</c:f>
                <c:numCache>
                  <c:formatCode>General</c:formatCode>
                  <c:ptCount val="5"/>
                  <c:pt idx="0">
                    <c:v>0.87</c:v>
                  </c:pt>
                  <c:pt idx="1">
                    <c:v>0.57999999999999996</c:v>
                  </c:pt>
                  <c:pt idx="2">
                    <c:v>0.44</c:v>
                  </c:pt>
                  <c:pt idx="3">
                    <c:v>0.6</c:v>
                  </c:pt>
                  <c:pt idx="4">
                    <c:v>0.56999999999999995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'Quisqualis indica'!$B$22:$B$26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indica'!$E$22:$E$26</c:f>
              <c:numCache>
                <c:formatCode>General</c:formatCode>
                <c:ptCount val="5"/>
                <c:pt idx="0">
                  <c:v>4.83</c:v>
                </c:pt>
                <c:pt idx="1">
                  <c:v>4.41</c:v>
                </c:pt>
                <c:pt idx="2">
                  <c:v>5.2</c:v>
                </c:pt>
                <c:pt idx="3">
                  <c:v>4.78</c:v>
                </c:pt>
                <c:pt idx="4">
                  <c:v>4.1300000000000008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9F-4C2E-89BA-B33C416C7F7B}"/>
            </c:ext>
          </c:extLst>
        </c:ser>
        <c:ser>
          <c:idx val="2"/>
          <c:order val="2"/>
          <c:tx>
            <c:strRef>
              <c:f>'Quisqualis indica'!$G$20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'Quisqualis indica'!$H$22:$H$26</c:f>
                <c:numCache>
                  <c:formatCode>General</c:formatCode>
                  <c:ptCount val="5"/>
                  <c:pt idx="0">
                    <c:v>1.42</c:v>
                  </c:pt>
                  <c:pt idx="1">
                    <c:v>0.94</c:v>
                  </c:pt>
                  <c:pt idx="2">
                    <c:v>0.54</c:v>
                  </c:pt>
                  <c:pt idx="3">
                    <c:v>1.05</c:v>
                  </c:pt>
                  <c:pt idx="4">
                    <c:v>0.48</c:v>
                  </c:pt>
                </c:numCache>
              </c:numRef>
            </c:plus>
            <c:minus>
              <c:numRef>
                <c:f>'Quisqualis indica'!$H$22:$H$26</c:f>
                <c:numCache>
                  <c:formatCode>General</c:formatCode>
                  <c:ptCount val="5"/>
                  <c:pt idx="0">
                    <c:v>1.42</c:v>
                  </c:pt>
                  <c:pt idx="1">
                    <c:v>0.94</c:v>
                  </c:pt>
                  <c:pt idx="2">
                    <c:v>0.54</c:v>
                  </c:pt>
                  <c:pt idx="3">
                    <c:v>1.05</c:v>
                  </c:pt>
                  <c:pt idx="4">
                    <c:v>0.48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'Quisqualis indica'!$B$22:$B$26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indica'!$G$22:$G$26</c:f>
              <c:numCache>
                <c:formatCode>General</c:formatCode>
                <c:ptCount val="5"/>
                <c:pt idx="0">
                  <c:v>6.42</c:v>
                </c:pt>
                <c:pt idx="1">
                  <c:v>4.42</c:v>
                </c:pt>
                <c:pt idx="2">
                  <c:v>7.26</c:v>
                </c:pt>
                <c:pt idx="3">
                  <c:v>6.93</c:v>
                </c:pt>
                <c:pt idx="4">
                  <c:v>5.61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9F-4C2E-89BA-B33C416C7F7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Acrostichum aureum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'Acrostichum shoot '!$C$10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'Acrostichum shoot '!$D$12:$D$16</c:f>
                <c:numCache>
                  <c:formatCode>General</c:formatCode>
                  <c:ptCount val="5"/>
                  <c:pt idx="0">
                    <c:v>2.17</c:v>
                  </c:pt>
                  <c:pt idx="1">
                    <c:v>2.78</c:v>
                  </c:pt>
                  <c:pt idx="2">
                    <c:v>1.64</c:v>
                  </c:pt>
                  <c:pt idx="3">
                    <c:v>1.86</c:v>
                  </c:pt>
                  <c:pt idx="4">
                    <c:v>1.81</c:v>
                  </c:pt>
                </c:numCache>
              </c:numRef>
            </c:plus>
            <c:minus>
              <c:numRef>
                <c:f>'Acrostichum shoot '!$D$12:$D$16</c:f>
                <c:numCache>
                  <c:formatCode>General</c:formatCode>
                  <c:ptCount val="5"/>
                  <c:pt idx="0">
                    <c:v>2.17</c:v>
                  </c:pt>
                  <c:pt idx="1">
                    <c:v>2.78</c:v>
                  </c:pt>
                  <c:pt idx="2">
                    <c:v>1.64</c:v>
                  </c:pt>
                  <c:pt idx="3">
                    <c:v>1.86</c:v>
                  </c:pt>
                  <c:pt idx="4">
                    <c:v>1.81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'Acrostichum shoot '!$B$12:$B$16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shoot '!$C$12:$C$16</c:f>
              <c:numCache>
                <c:formatCode>General</c:formatCode>
                <c:ptCount val="5"/>
                <c:pt idx="0">
                  <c:v>20.3</c:v>
                </c:pt>
                <c:pt idx="1">
                  <c:v>19.839999999999996</c:v>
                </c:pt>
                <c:pt idx="2">
                  <c:v>14.9</c:v>
                </c:pt>
                <c:pt idx="3">
                  <c:v>12.4</c:v>
                </c:pt>
                <c:pt idx="4">
                  <c:v>16.919999999999998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E5-409F-B52C-FDE0816F705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'Acrostichum shoot '!$E$10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uri="{02D57815-91ED-43cb-92C2-25804820EDAC}">
                          <c15:formulaRef>
                            <c15:sqref>'Acrostichum shoot 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plus>
                  <c:minus>
                    <c:numRef>
                      <c:extLst>
                        <c:ext uri="{02D57815-91ED-43cb-92C2-25804820EDAC}">
                          <c15:formulaRef>
                            <c15:sqref>'Acrostichum shoot 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>
                      <c:ext uri="{02D57815-91ED-43cb-92C2-25804820EDAC}">
                        <c15:formulaRef>
                          <c15:sqref>'Acrostichum shoot 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'Acrostichum shoot '!$E$12:$E$16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D8E5-409F-B52C-FDE0816F7057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'Acrostichum shoot '!$G$10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'Acrostichum shoot '!#REF!</c15:sqref>
                          </c15:formulaRef>
                        </c:ext>
                      </c:extLst>
                      <c:numCache>
                        <c:formatCode>General</c:formatCode>
                        <c:ptCount val="1"/>
                        <c:pt idx="0">
                          <c:v>1</c:v>
                        </c:pt>
                      </c:numCache>
                    </c:numRef>
                  </c:plus>
                  <c:min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'Acrostichum shoot '!#REF!</c15:sqref>
                          </c15:formulaRef>
                        </c:ext>
                      </c:extLst>
                      <c:numCache>
                        <c:formatCode>General</c:formatCode>
                        <c:ptCount val="1"/>
                        <c:pt idx="0">
                          <c:v>1</c:v>
                        </c:pt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'Acrostichum shoot 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'Acrostichum shoot '!$G$12:$G$16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8E5-409F-B52C-FDE0816F7057}"/>
                  </c:ext>
                </c:extLst>
              </c15:ser>
            </c15:filteredBarSeries>
          </c:ext>
        </c:extLst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Shoot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Quisqualis indica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'Quisqualis indica Shoot'!$C$10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'Quisqualis indica Shoot'!$D$11:$D$16</c:f>
                <c:numCache>
                  <c:formatCode>General</c:formatCode>
                  <c:ptCount val="6"/>
                  <c:pt idx="0">
                    <c:v>0</c:v>
                  </c:pt>
                  <c:pt idx="1">
                    <c:v>0.82</c:v>
                  </c:pt>
                  <c:pt idx="2">
                    <c:v>0.56999999999999995</c:v>
                  </c:pt>
                  <c:pt idx="3">
                    <c:v>1.69</c:v>
                  </c:pt>
                  <c:pt idx="4">
                    <c:v>3.67</c:v>
                  </c:pt>
                  <c:pt idx="5">
                    <c:v>1.81</c:v>
                  </c:pt>
                </c:numCache>
              </c:numRef>
            </c:plus>
            <c:minus>
              <c:numRef>
                <c:f>'Quisqualis indica Shoot'!$D$12:$D$16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0.56999999999999995</c:v>
                  </c:pt>
                  <c:pt idx="2">
                    <c:v>1.69</c:v>
                  </c:pt>
                  <c:pt idx="3">
                    <c:v>3.67</c:v>
                  </c:pt>
                  <c:pt idx="4">
                    <c:v>1.81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'Quisqualis indica Shoot'!$B$12:$B$16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 Shoot'!$C$12:$C$16</c:f>
              <c:numCache>
                <c:formatCode>General</c:formatCode>
                <c:ptCount val="5"/>
                <c:pt idx="0">
                  <c:v>19.899999999999999</c:v>
                </c:pt>
                <c:pt idx="1">
                  <c:v>20.8</c:v>
                </c:pt>
                <c:pt idx="2">
                  <c:v>14.28</c:v>
                </c:pt>
                <c:pt idx="3">
                  <c:v>11.44</c:v>
                </c:pt>
                <c:pt idx="4">
                  <c:v>16.919999999999998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EB1-88AC-22B991A44CA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'Quisqualis indica Shoot'!$E$10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uri="{02D57815-91ED-43cb-92C2-25804820EDAC}">
                          <c15:formulaRef>
                            <c15:sqref>'Quisqualis indica Shoot'!$F$12:$F$16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plus>
                  <c:minus>
                    <c:numRef>
                      <c:extLst>
                        <c:ext uri="{02D57815-91ED-43cb-92C2-25804820EDAC}">
                          <c15:formulaRef>
                            <c15:sqref>'Quisqualis indica Shoot'!$F$12:$F$16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>
                      <c:ext uri="{02D57815-91ED-43cb-92C2-25804820EDAC}">
                        <c15:formulaRef>
                          <c15:sqref>'Quisqualis indica Shoot'!$B$12:$B$16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'Quisqualis indica Shoot'!$E$12:$E$16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EB4-4EB1-88AC-22B991A44CAF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'Quisqualis indica Shoot'!$G$10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'Quisqualis indica Shoot'!#REF!</c15:sqref>
                          </c15:formulaRef>
                        </c:ext>
                      </c:extLst>
                      <c:numCache>
                        <c:formatCode>General</c:formatCode>
                        <c:ptCount val="1"/>
                        <c:pt idx="0">
                          <c:v>1</c:v>
                        </c:pt>
                      </c:numCache>
                    </c:numRef>
                  </c:plus>
                  <c:min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'Quisqualis indica Shoot'!#REF!</c15:sqref>
                          </c15:formulaRef>
                        </c:ext>
                      </c:extLst>
                      <c:numCache>
                        <c:formatCode>General</c:formatCode>
                        <c:ptCount val="1"/>
                        <c:pt idx="0">
                          <c:v>1</c:v>
                        </c:pt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'Quisqualis indica Shoot'!$B$12:$B$16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'Quisqualis indica Shoot'!$G$12:$G$16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EB4-4EB1-88AC-22B991A44CAF}"/>
                  </c:ext>
                </c:extLst>
              </c15:ser>
            </c15:filteredBarSeries>
          </c:ext>
        </c:extLst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Shoot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Ludwigia peruviana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'Ludwigia peruviana Shoot'!$C$10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'Ludwigia peruviana Shoot'!$D$12:$D$16</c:f>
                <c:numCache>
                  <c:formatCode>General</c:formatCode>
                  <c:ptCount val="5"/>
                  <c:pt idx="0">
                    <c:v>0.51</c:v>
                  </c:pt>
                  <c:pt idx="1">
                    <c:v>1.9</c:v>
                  </c:pt>
                  <c:pt idx="2">
                    <c:v>1.92</c:v>
                  </c:pt>
                  <c:pt idx="3">
                    <c:v>2.83</c:v>
                  </c:pt>
                  <c:pt idx="4">
                    <c:v>1.81</c:v>
                  </c:pt>
                </c:numCache>
              </c:numRef>
            </c:plus>
            <c:minus>
              <c:numRef>
                <c:f>'Ludwigia peruviana Shoot'!$D$12:$D$16</c:f>
                <c:numCache>
                  <c:formatCode>General</c:formatCode>
                  <c:ptCount val="5"/>
                  <c:pt idx="0">
                    <c:v>0.51</c:v>
                  </c:pt>
                  <c:pt idx="1">
                    <c:v>1.9</c:v>
                  </c:pt>
                  <c:pt idx="2">
                    <c:v>1.92</c:v>
                  </c:pt>
                  <c:pt idx="3">
                    <c:v>2.83</c:v>
                  </c:pt>
                  <c:pt idx="4">
                    <c:v>1.81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'Ludwigia peruviana Shoot'!$B$12:$B$16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 Shoot'!$C$12:$C$16</c:f>
              <c:numCache>
                <c:formatCode>General</c:formatCode>
                <c:ptCount val="5"/>
                <c:pt idx="0">
                  <c:v>21.32</c:v>
                </c:pt>
                <c:pt idx="1">
                  <c:v>18.82</c:v>
                </c:pt>
                <c:pt idx="2">
                  <c:v>12.96</c:v>
                </c:pt>
                <c:pt idx="3">
                  <c:v>7.54</c:v>
                </c:pt>
                <c:pt idx="4">
                  <c:v>16.919999999999998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E-4E64-A23D-A3F485067A4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'Ludwigia peruviana Shoot'!$E$10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uri="{02D57815-91ED-43cb-92C2-25804820EDAC}">
                          <c15:formulaRef>
                            <c15:sqref>'Ludwigia peruviana Shoot'!$F$12:$F$16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plus>
                  <c:minus>
                    <c:numRef>
                      <c:extLst>
                        <c:ext uri="{02D57815-91ED-43cb-92C2-25804820EDAC}">
                          <c15:formulaRef>
                            <c15:sqref>'Ludwigia peruviana Shoot'!$F$12:$F$16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>
                      <c:ext uri="{02D57815-91ED-43cb-92C2-25804820EDAC}">
                        <c15:formulaRef>
                          <c15:sqref>'Ludwigia peruviana Shoot'!$B$12:$B$16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'Ludwigia peruviana Shoot'!$E$12:$E$16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3AE-4E64-A23D-A3F485067A4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'Ludwigia peruviana Shoot'!$G$10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'Ludwigia peruviana Shoot'!#REF!</c15:sqref>
                          </c15:formulaRef>
                        </c:ext>
                      </c:extLst>
                      <c:numCache>
                        <c:formatCode>General</c:formatCode>
                        <c:ptCount val="1"/>
                        <c:pt idx="0">
                          <c:v>1</c:v>
                        </c:pt>
                      </c:numCache>
                    </c:numRef>
                  </c:plus>
                  <c:min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'Ludwigia peruviana Shoot'!#REF!</c15:sqref>
                          </c15:formulaRef>
                        </c:ext>
                      </c:extLst>
                      <c:numCache>
                        <c:formatCode>General</c:formatCode>
                        <c:ptCount val="1"/>
                        <c:pt idx="0">
                          <c:v>1</c:v>
                        </c:pt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'Ludwigia peruviana Shoot'!$B$12:$B$16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'Ludwigia peruviana Shoot'!$G$12:$G$16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3AE-4E64-A23D-A3F485067A41}"/>
                  </c:ext>
                </c:extLst>
              </c15:ser>
            </c15:filteredBarSeries>
          </c:ext>
        </c:extLst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Shoot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Cyclosorus interruptus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'Cyclosorus interruptus Shoot'!$C$10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'Cyclosorus interruptus Shoot'!$D$12:$D$16</c:f>
                <c:numCache>
                  <c:formatCode>General</c:formatCode>
                  <c:ptCount val="5"/>
                  <c:pt idx="0">
                    <c:v>1.1499999999999999</c:v>
                  </c:pt>
                  <c:pt idx="1">
                    <c:v>0.45</c:v>
                  </c:pt>
                  <c:pt idx="2">
                    <c:v>2.36</c:v>
                  </c:pt>
                  <c:pt idx="3">
                    <c:v>4.1399999999999997</c:v>
                  </c:pt>
                  <c:pt idx="4">
                    <c:v>1.81</c:v>
                  </c:pt>
                </c:numCache>
              </c:numRef>
            </c:plus>
            <c:minus>
              <c:numRef>
                <c:f>'Cyclosorus interruptus Shoot'!$D$12:$D$16</c:f>
                <c:numCache>
                  <c:formatCode>General</c:formatCode>
                  <c:ptCount val="5"/>
                  <c:pt idx="0">
                    <c:v>1.1499999999999999</c:v>
                  </c:pt>
                  <c:pt idx="1">
                    <c:v>0.45</c:v>
                  </c:pt>
                  <c:pt idx="2">
                    <c:v>2.36</c:v>
                  </c:pt>
                  <c:pt idx="3">
                    <c:v>4.1399999999999997</c:v>
                  </c:pt>
                  <c:pt idx="4">
                    <c:v>1.81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'Cyclosorus interruptus Shoot'!$B$12:$B$16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 Shoot'!$C$12:$C$16</c:f>
              <c:numCache>
                <c:formatCode>General</c:formatCode>
                <c:ptCount val="5"/>
                <c:pt idx="0">
                  <c:v>18.8</c:v>
                </c:pt>
                <c:pt idx="1">
                  <c:v>19.2</c:v>
                </c:pt>
                <c:pt idx="2">
                  <c:v>9.26</c:v>
                </c:pt>
                <c:pt idx="3">
                  <c:v>7.76</c:v>
                </c:pt>
                <c:pt idx="4">
                  <c:v>16.919999999999998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96-4664-80D2-644B4894BB6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'Cyclosorus interruptus Shoot'!$E$10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uri="{02D57815-91ED-43cb-92C2-25804820EDAC}">
                          <c15:formulaRef>
                            <c15:sqref>'Cyclosorus interruptus Shoot'!$F$12:$F$16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plus>
                  <c:minus>
                    <c:numRef>
                      <c:extLst>
                        <c:ext uri="{02D57815-91ED-43cb-92C2-25804820EDAC}">
                          <c15:formulaRef>
                            <c15:sqref>'Cyclosorus interruptus Shoot'!$F$12:$F$16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>
                      <c:ext uri="{02D57815-91ED-43cb-92C2-25804820EDAC}">
                        <c15:formulaRef>
                          <c15:sqref>'Cyclosorus interruptus Shoot'!$B$12:$B$16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'Cyclosorus interruptus Shoot'!$E$12:$E$16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1796-4664-80D2-644B4894BB6F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'Cyclosorus interruptus Shoot'!$G$10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'Cyclosorus interruptus Shoot'!#REF!</c15:sqref>
                          </c15:formulaRef>
                        </c:ext>
                      </c:extLst>
                      <c:numCache>
                        <c:formatCode>General</c:formatCode>
                        <c:ptCount val="1"/>
                        <c:pt idx="0">
                          <c:v>1</c:v>
                        </c:pt>
                      </c:numCache>
                    </c:numRef>
                  </c:plus>
                  <c:min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'Cyclosorus interruptus Shoot'!#REF!</c15:sqref>
                          </c15:formulaRef>
                        </c:ext>
                      </c:extLst>
                      <c:numCache>
                        <c:formatCode>General</c:formatCode>
                        <c:ptCount val="1"/>
                        <c:pt idx="0">
                          <c:v>1</c:v>
                        </c:pt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'Cyclosorus interruptus Shoot'!$B$12:$B$16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'Cyclosorus interruptus Shoot'!$G$12:$G$16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796-4664-80D2-644B4894BB6F}"/>
                  </c:ext>
                </c:extLst>
              </c15:ser>
            </c15:filteredBarSeries>
          </c:ext>
        </c:extLst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Shoot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Acrostichum aureum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'Acrostichum root (Pea)'!$C$9:$D$9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'Acrostichum root (Pea)'!$D$11:$D$15</c:f>
                <c:numCache>
                  <c:formatCode>General</c:formatCode>
                  <c:ptCount val="5"/>
                  <c:pt idx="0">
                    <c:v>1.29</c:v>
                  </c:pt>
                  <c:pt idx="1">
                    <c:v>1.88</c:v>
                  </c:pt>
                  <c:pt idx="2">
                    <c:v>1.33</c:v>
                  </c:pt>
                  <c:pt idx="3">
                    <c:v>3.22</c:v>
                  </c:pt>
                  <c:pt idx="4">
                    <c:v>0.43</c:v>
                  </c:pt>
                </c:numCache>
              </c:numRef>
            </c:plus>
            <c:minus>
              <c:numRef>
                <c:f>'Acrostichum root (Pea)'!$D$11:$D$15</c:f>
                <c:numCache>
                  <c:formatCode>General</c:formatCode>
                  <c:ptCount val="5"/>
                  <c:pt idx="0">
                    <c:v>1.29</c:v>
                  </c:pt>
                  <c:pt idx="1">
                    <c:v>1.88</c:v>
                  </c:pt>
                  <c:pt idx="2">
                    <c:v>1.33</c:v>
                  </c:pt>
                  <c:pt idx="3">
                    <c:v>3.22</c:v>
                  </c:pt>
                  <c:pt idx="4">
                    <c:v>0.43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'Acrostichum root (Pea)'!$B$11:$B$15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root (Pea)'!$C$11:$C$15</c:f>
              <c:numCache>
                <c:formatCode>General</c:formatCode>
                <c:ptCount val="5"/>
                <c:pt idx="0">
                  <c:v>14</c:v>
                </c:pt>
                <c:pt idx="1">
                  <c:v>15.639999999999997</c:v>
                </c:pt>
                <c:pt idx="2">
                  <c:v>19.080000000000002</c:v>
                </c:pt>
                <c:pt idx="3">
                  <c:v>13.76</c:v>
                </c:pt>
                <c:pt idx="4">
                  <c:v>11.66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E-429D-B93F-E9853DFE732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Quisqualis indica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'Quisqualis root (Pea)'!$C$9:$D$9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'Quisqualis root (Pea)'!$D$11:$D$15</c:f>
                <c:numCache>
                  <c:formatCode>General</c:formatCode>
                  <c:ptCount val="5"/>
                  <c:pt idx="0">
                    <c:v>1.78</c:v>
                  </c:pt>
                  <c:pt idx="1">
                    <c:v>1.97</c:v>
                  </c:pt>
                  <c:pt idx="2">
                    <c:v>3.33</c:v>
                  </c:pt>
                  <c:pt idx="3">
                    <c:v>1.1399999999999999</c:v>
                  </c:pt>
                  <c:pt idx="4">
                    <c:v>0.43</c:v>
                  </c:pt>
                </c:numCache>
              </c:numRef>
            </c:plus>
            <c:minus>
              <c:numRef>
                <c:f>'Quisqualis root (Pea)'!$D$11:$D$15</c:f>
                <c:numCache>
                  <c:formatCode>General</c:formatCode>
                  <c:ptCount val="5"/>
                  <c:pt idx="0">
                    <c:v>1.78</c:v>
                  </c:pt>
                  <c:pt idx="1">
                    <c:v>1.97</c:v>
                  </c:pt>
                  <c:pt idx="2">
                    <c:v>3.33</c:v>
                  </c:pt>
                  <c:pt idx="3">
                    <c:v>1.1399999999999999</c:v>
                  </c:pt>
                  <c:pt idx="4">
                    <c:v>0.43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'Quisqualis root (Pea)'!$B$11:$B$15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root (Pea)'!$C$11:$C$15</c:f>
              <c:numCache>
                <c:formatCode>General</c:formatCode>
                <c:ptCount val="5"/>
                <c:pt idx="0">
                  <c:v>14.1</c:v>
                </c:pt>
                <c:pt idx="1">
                  <c:v>14</c:v>
                </c:pt>
                <c:pt idx="2">
                  <c:v>14.680000000000001</c:v>
                </c:pt>
                <c:pt idx="3">
                  <c:v>7.76</c:v>
                </c:pt>
                <c:pt idx="4">
                  <c:v>11.66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99-40F0-B734-47FEAF376A3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Ludwigia peruviana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'Ludwegia root (Pea) 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'Ludwegia root (Pea) '!$D$11:$D$15</c:f>
                <c:numCache>
                  <c:formatCode>General</c:formatCode>
                  <c:ptCount val="5"/>
                  <c:pt idx="0">
                    <c:v>1.39</c:v>
                  </c:pt>
                  <c:pt idx="1">
                    <c:v>1.75</c:v>
                  </c:pt>
                  <c:pt idx="2">
                    <c:v>5.57</c:v>
                  </c:pt>
                  <c:pt idx="3">
                    <c:v>1.57</c:v>
                  </c:pt>
                  <c:pt idx="4">
                    <c:v>0.43</c:v>
                  </c:pt>
                </c:numCache>
              </c:numRef>
            </c:plus>
            <c:minus>
              <c:numRef>
                <c:f>'Ludwegia root (Pea) '!$D$11:$D$15</c:f>
                <c:numCache>
                  <c:formatCode>General</c:formatCode>
                  <c:ptCount val="5"/>
                  <c:pt idx="0">
                    <c:v>1.39</c:v>
                  </c:pt>
                  <c:pt idx="1">
                    <c:v>1.75</c:v>
                  </c:pt>
                  <c:pt idx="2">
                    <c:v>5.57</c:v>
                  </c:pt>
                  <c:pt idx="3">
                    <c:v>1.57</c:v>
                  </c:pt>
                  <c:pt idx="4">
                    <c:v>0.43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'Ludwegia root 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'Ludwegia root (Pea) '!$C$11:$C$15</c:f>
              <c:numCache>
                <c:formatCode>General</c:formatCode>
                <c:ptCount val="5"/>
                <c:pt idx="0">
                  <c:v>15.24</c:v>
                </c:pt>
                <c:pt idx="1">
                  <c:v>15.080000000000002</c:v>
                </c:pt>
                <c:pt idx="2">
                  <c:v>15.3</c:v>
                </c:pt>
                <c:pt idx="3">
                  <c:v>12.1</c:v>
                </c:pt>
                <c:pt idx="4">
                  <c:v>11.66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8-426B-B5F1-8948ED4CA3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Cyclosorus interruptus</a:t>
            </a:r>
          </a:p>
          <a:p>
            <a:pPr>
              <a:defRPr/>
            </a:pPr>
            <a:endParaRPr lang="en-US" b="1">
              <a:latin typeface="Times New Roman" panose="02020603050405020304" charset="0"/>
              <a:cs typeface="Times New Roman" panose="0202060305040502030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'Cyclosorus root (Pea) 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'Cyclosorus root (Pea) '!$D$11:$D$15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0.91</c:v>
                  </c:pt>
                  <c:pt idx="2">
                    <c:v>3.89</c:v>
                  </c:pt>
                  <c:pt idx="3">
                    <c:v>4.59</c:v>
                  </c:pt>
                  <c:pt idx="4">
                    <c:v>0.43</c:v>
                  </c:pt>
                </c:numCache>
              </c:numRef>
            </c:plus>
            <c:minus>
              <c:numRef>
                <c:f>'Cyclosorus root (Pea) '!$D$11:$D$15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0.91</c:v>
                  </c:pt>
                  <c:pt idx="2">
                    <c:v>3.89</c:v>
                  </c:pt>
                  <c:pt idx="3">
                    <c:v>4.59</c:v>
                  </c:pt>
                  <c:pt idx="4">
                    <c:v>0.43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'Cyclosorus root 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root (Pea) '!$C$11:$C$15</c:f>
              <c:numCache>
                <c:formatCode>General</c:formatCode>
                <c:ptCount val="5"/>
                <c:pt idx="0">
                  <c:v>13.9</c:v>
                </c:pt>
                <c:pt idx="1">
                  <c:v>13.2</c:v>
                </c:pt>
                <c:pt idx="2">
                  <c:v>14.720000000000002</c:v>
                </c:pt>
                <c:pt idx="3">
                  <c:v>11.679999999999998</c:v>
                </c:pt>
                <c:pt idx="4">
                  <c:v>11.66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C2-4EBF-B3BF-DF6F98E3FF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Cyclosorus interruptus</a:t>
            </a:r>
          </a:p>
          <a:p>
            <a:pPr>
              <a:defRPr/>
            </a:pPr>
            <a:endParaRPr lang="en-US" b="1">
              <a:latin typeface="Times New Roman" panose="02020603050405020304" charset="0"/>
              <a:cs typeface="Times New Roman" panose="0202060305040502030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'Cyclosorus TL (Pea)  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'Cyclosorus TL (Pea)  '!$D$11:$D$15</c:f>
                <c:numCache>
                  <c:formatCode>General</c:formatCode>
                  <c:ptCount val="5"/>
                  <c:pt idx="0">
                    <c:v>1.1499999999999999</c:v>
                  </c:pt>
                  <c:pt idx="1">
                    <c:v>0.82</c:v>
                  </c:pt>
                  <c:pt idx="2">
                    <c:v>6.32</c:v>
                  </c:pt>
                  <c:pt idx="3">
                    <c:v>6.73</c:v>
                  </c:pt>
                  <c:pt idx="4">
                    <c:v>0.86</c:v>
                  </c:pt>
                </c:numCache>
              </c:numRef>
            </c:plus>
            <c:minus>
              <c:numRef>
                <c:f>'Cyclosorus TL (Pea)  '!$D$11:$D$15</c:f>
                <c:numCache>
                  <c:formatCode>General</c:formatCode>
                  <c:ptCount val="5"/>
                  <c:pt idx="0">
                    <c:v>1.1499999999999999</c:v>
                  </c:pt>
                  <c:pt idx="1">
                    <c:v>0.82</c:v>
                  </c:pt>
                  <c:pt idx="2">
                    <c:v>6.32</c:v>
                  </c:pt>
                  <c:pt idx="3">
                    <c:v>6.73</c:v>
                  </c:pt>
                  <c:pt idx="4">
                    <c:v>0.86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'Cyclosorus TL (Pea) 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TL (Pea)  '!$C$11:$C$15</c:f>
              <c:numCache>
                <c:formatCode>General</c:formatCode>
                <c:ptCount val="5"/>
                <c:pt idx="0">
                  <c:v>34.200000000000003</c:v>
                </c:pt>
                <c:pt idx="1">
                  <c:v>33.9</c:v>
                </c:pt>
                <c:pt idx="2">
                  <c:v>24.5</c:v>
                </c:pt>
                <c:pt idx="3">
                  <c:v>22.2</c:v>
                </c:pt>
                <c:pt idx="4">
                  <c:v>31.360000000000003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37-4EDD-9819-91717D474AB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Total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Ludwigia peruviana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'Ludwegia TL(Pea) 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'Ludwegia TL(Pea) '!$D$11:$D$15</c:f>
                <c:numCache>
                  <c:formatCode>General</c:formatCode>
                  <c:ptCount val="5"/>
                  <c:pt idx="0">
                    <c:v>1</c:v>
                  </c:pt>
                  <c:pt idx="1">
                    <c:v>3.87</c:v>
                  </c:pt>
                  <c:pt idx="2">
                    <c:v>6.35</c:v>
                  </c:pt>
                  <c:pt idx="3">
                    <c:v>3.36</c:v>
                  </c:pt>
                  <c:pt idx="4">
                    <c:v>0.86</c:v>
                  </c:pt>
                </c:numCache>
              </c:numRef>
            </c:plus>
            <c:minus>
              <c:numRef>
                <c:f>'Ludwegia TL(Pea) '!$D$11:$D$15</c:f>
                <c:numCache>
                  <c:formatCode>General</c:formatCode>
                  <c:ptCount val="5"/>
                  <c:pt idx="0">
                    <c:v>1</c:v>
                  </c:pt>
                  <c:pt idx="1">
                    <c:v>3.87</c:v>
                  </c:pt>
                  <c:pt idx="2">
                    <c:v>6.35</c:v>
                  </c:pt>
                  <c:pt idx="3">
                    <c:v>3.36</c:v>
                  </c:pt>
                  <c:pt idx="4">
                    <c:v>0.86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'Ludwegia TL(Pea)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'Ludwegia TL(Pea) '!$C$11:$C$15</c:f>
              <c:numCache>
                <c:formatCode>General</c:formatCode>
                <c:ptCount val="5"/>
                <c:pt idx="0">
                  <c:v>38</c:v>
                </c:pt>
                <c:pt idx="1">
                  <c:v>35.200000000000003</c:v>
                </c:pt>
                <c:pt idx="2">
                  <c:v>30.02</c:v>
                </c:pt>
                <c:pt idx="3">
                  <c:v>19.5</c:v>
                </c:pt>
                <c:pt idx="4">
                  <c:v>31.360000000000003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E6-453F-A8B5-2CB9B44B7D6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Total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Quisqualis indica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'Quisqualis TL (Pea)'!$C$9:$D$9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'Quisqualis TL (Pea)'!$D$11:$D$15</c:f>
                <c:numCache>
                  <c:formatCode>General</c:formatCode>
                  <c:ptCount val="5"/>
                  <c:pt idx="0">
                    <c:v>1.73</c:v>
                  </c:pt>
                  <c:pt idx="1">
                    <c:v>2.5099999999999998</c:v>
                  </c:pt>
                  <c:pt idx="2">
                    <c:v>4.72</c:v>
                  </c:pt>
                  <c:pt idx="3">
                    <c:v>3.05</c:v>
                  </c:pt>
                  <c:pt idx="4">
                    <c:v>0.86</c:v>
                  </c:pt>
                </c:numCache>
              </c:numRef>
            </c:plus>
            <c:minus>
              <c:numRef>
                <c:f>'Quisqualis TL (Pea)'!$D$11:$D$15</c:f>
                <c:numCache>
                  <c:formatCode>General</c:formatCode>
                  <c:ptCount val="5"/>
                  <c:pt idx="0">
                    <c:v>1.73</c:v>
                  </c:pt>
                  <c:pt idx="1">
                    <c:v>2.5099999999999998</c:v>
                  </c:pt>
                  <c:pt idx="2">
                    <c:v>4.72</c:v>
                  </c:pt>
                  <c:pt idx="3">
                    <c:v>3.05</c:v>
                  </c:pt>
                  <c:pt idx="4">
                    <c:v>0.86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'Quisqualis TL (Pea)'!$B$11:$B$15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TL (Pea)'!$C$11:$C$15</c:f>
              <c:numCache>
                <c:formatCode>General</c:formatCode>
                <c:ptCount val="5"/>
                <c:pt idx="0">
                  <c:v>35.5</c:v>
                </c:pt>
                <c:pt idx="1">
                  <c:v>35.9</c:v>
                </c:pt>
                <c:pt idx="2">
                  <c:v>28.28</c:v>
                </c:pt>
                <c:pt idx="3">
                  <c:v>17.399999999999999</c:v>
                </c:pt>
                <c:pt idx="4">
                  <c:v>31.360000000000003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E0-426B-9E60-CA7F478D48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Total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Acrostichum aureum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'Acrostichum TL (Pea) 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'Acrostichum TL (Pea) '!$D$11:$D$15</c:f>
                <c:numCache>
                  <c:formatCode>General</c:formatCode>
                  <c:ptCount val="5"/>
                  <c:pt idx="0">
                    <c:v>2.0299999999999998</c:v>
                  </c:pt>
                  <c:pt idx="1">
                    <c:v>4.32</c:v>
                  </c:pt>
                  <c:pt idx="2">
                    <c:v>1.89</c:v>
                  </c:pt>
                  <c:pt idx="3">
                    <c:v>4.03</c:v>
                  </c:pt>
                  <c:pt idx="4">
                    <c:v>0.86</c:v>
                  </c:pt>
                </c:numCache>
              </c:numRef>
            </c:plus>
            <c:minus>
              <c:numRef>
                <c:f>'Acrostichum TL (Pea) '!$D$11:$D$15</c:f>
                <c:numCache>
                  <c:formatCode>General</c:formatCode>
                  <c:ptCount val="5"/>
                  <c:pt idx="0">
                    <c:v>2.0299999999999998</c:v>
                  </c:pt>
                  <c:pt idx="1">
                    <c:v>4.32</c:v>
                  </c:pt>
                  <c:pt idx="2">
                    <c:v>1.89</c:v>
                  </c:pt>
                  <c:pt idx="3">
                    <c:v>4.03</c:v>
                  </c:pt>
                  <c:pt idx="4">
                    <c:v>0.86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'Acrostichum TL 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TL (Pea) '!$C$11:$C$15</c:f>
              <c:numCache>
                <c:formatCode>General</c:formatCode>
                <c:ptCount val="5"/>
                <c:pt idx="0">
                  <c:v>35.274999999999999</c:v>
                </c:pt>
                <c:pt idx="1">
                  <c:v>37.35</c:v>
                </c:pt>
                <c:pt idx="2">
                  <c:v>35.375</c:v>
                </c:pt>
                <c:pt idx="3">
                  <c:v>27.6</c:v>
                </c:pt>
                <c:pt idx="4">
                  <c:v>31.360000000000003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9-4240-BC4D-9374131D8F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Total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107758</xdr:colOff>
      <xdr:row>0</xdr:row>
      <xdr:rowOff>87320</xdr:rowOff>
    </xdr:from>
    <xdr:to>
      <xdr:col>20</xdr:col>
      <xdr:colOff>96674</xdr:colOff>
      <xdr:row>22</xdr:row>
      <xdr:rowOff>123151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107758</xdr:colOff>
      <xdr:row>0</xdr:row>
      <xdr:rowOff>87320</xdr:rowOff>
    </xdr:from>
    <xdr:to>
      <xdr:col>20</xdr:col>
      <xdr:colOff>96674</xdr:colOff>
      <xdr:row>22</xdr:row>
      <xdr:rowOff>123151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107758</xdr:colOff>
      <xdr:row>0</xdr:row>
      <xdr:rowOff>87320</xdr:rowOff>
    </xdr:from>
    <xdr:to>
      <xdr:col>21</xdr:col>
      <xdr:colOff>96674</xdr:colOff>
      <xdr:row>22</xdr:row>
      <xdr:rowOff>123151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107758</xdr:colOff>
      <xdr:row>0</xdr:row>
      <xdr:rowOff>87320</xdr:rowOff>
    </xdr:from>
    <xdr:to>
      <xdr:col>21</xdr:col>
      <xdr:colOff>96674</xdr:colOff>
      <xdr:row>22</xdr:row>
      <xdr:rowOff>123151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545689</xdr:colOff>
      <xdr:row>0</xdr:row>
      <xdr:rowOff>0</xdr:rowOff>
    </xdr:from>
    <xdr:to>
      <xdr:col>15</xdr:col>
      <xdr:colOff>534605</xdr:colOff>
      <xdr:row>13</xdr:row>
      <xdr:rowOff>166944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449344</xdr:colOff>
      <xdr:row>0</xdr:row>
      <xdr:rowOff>0</xdr:rowOff>
    </xdr:from>
    <xdr:to>
      <xdr:col>15</xdr:col>
      <xdr:colOff>438260</xdr:colOff>
      <xdr:row>13</xdr:row>
      <xdr:rowOff>35565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440586</xdr:colOff>
      <xdr:row>0</xdr:row>
      <xdr:rowOff>0</xdr:rowOff>
    </xdr:from>
    <xdr:to>
      <xdr:col>15</xdr:col>
      <xdr:colOff>429502</xdr:colOff>
      <xdr:row>13</xdr:row>
      <xdr:rowOff>35565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388034</xdr:colOff>
      <xdr:row>0</xdr:row>
      <xdr:rowOff>0</xdr:rowOff>
    </xdr:from>
    <xdr:to>
      <xdr:col>15</xdr:col>
      <xdr:colOff>376950</xdr:colOff>
      <xdr:row>13</xdr:row>
      <xdr:rowOff>9289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3656</xdr:colOff>
      <xdr:row>7</xdr:row>
      <xdr:rowOff>111414</xdr:rowOff>
    </xdr:from>
    <xdr:to>
      <xdr:col>11</xdr:col>
      <xdr:colOff>654511</xdr:colOff>
      <xdr:row>19</xdr:row>
      <xdr:rowOff>59363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460856</xdr:colOff>
      <xdr:row>5</xdr:row>
      <xdr:rowOff>101889</xdr:rowOff>
    </xdr:from>
    <xdr:to>
      <xdr:col>11</xdr:col>
      <xdr:colOff>378286</xdr:colOff>
      <xdr:row>17</xdr:row>
      <xdr:rowOff>49838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3656</xdr:colOff>
      <xdr:row>7</xdr:row>
      <xdr:rowOff>111414</xdr:rowOff>
    </xdr:from>
    <xdr:to>
      <xdr:col>11</xdr:col>
      <xdr:colOff>654511</xdr:colOff>
      <xdr:row>19</xdr:row>
      <xdr:rowOff>59363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3656</xdr:colOff>
      <xdr:row>7</xdr:row>
      <xdr:rowOff>111414</xdr:rowOff>
    </xdr:from>
    <xdr:to>
      <xdr:col>11</xdr:col>
      <xdr:colOff>654511</xdr:colOff>
      <xdr:row>19</xdr:row>
      <xdr:rowOff>59363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3656</xdr:colOff>
      <xdr:row>7</xdr:row>
      <xdr:rowOff>111414</xdr:rowOff>
    </xdr:from>
    <xdr:to>
      <xdr:col>11</xdr:col>
      <xdr:colOff>654511</xdr:colOff>
      <xdr:row>19</xdr:row>
      <xdr:rowOff>59363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3656</xdr:colOff>
      <xdr:row>7</xdr:row>
      <xdr:rowOff>111414</xdr:rowOff>
    </xdr:from>
    <xdr:to>
      <xdr:col>11</xdr:col>
      <xdr:colOff>654511</xdr:colOff>
      <xdr:row>19</xdr:row>
      <xdr:rowOff>59363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460856</xdr:colOff>
      <xdr:row>5</xdr:row>
      <xdr:rowOff>101889</xdr:rowOff>
    </xdr:from>
    <xdr:to>
      <xdr:col>11</xdr:col>
      <xdr:colOff>378286</xdr:colOff>
      <xdr:row>17</xdr:row>
      <xdr:rowOff>49838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317981</xdr:colOff>
      <xdr:row>5</xdr:row>
      <xdr:rowOff>159039</xdr:rowOff>
    </xdr:from>
    <xdr:to>
      <xdr:col>10</xdr:col>
      <xdr:colOff>235411</xdr:colOff>
      <xdr:row>17</xdr:row>
      <xdr:rowOff>106988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8"/>
  <sheetViews>
    <sheetView zoomScale="99" zoomScaleNormal="99" workbookViewId="0">
      <selection activeCell="M1" sqref="M1:M1048576"/>
    </sheetView>
  </sheetViews>
  <sheetFormatPr defaultColWidth="9" defaultRowHeight="13.5" customHeight="1"/>
  <cols>
    <col min="2" max="2" width="13.125" customWidth="1"/>
    <col min="3" max="3" width="9.625" customWidth="1"/>
    <col min="4" max="4" width="14.75" customWidth="1"/>
    <col min="5" max="12" width="9.625" customWidth="1"/>
    <col min="13" max="27" width="9.625" style="30" customWidth="1"/>
    <col min="28" max="28" width="9.625" customWidth="1"/>
  </cols>
  <sheetData>
    <row r="1" spans="1:27" ht="15" customHeight="1">
      <c r="A1" s="31"/>
      <c r="B1" s="32" t="s">
        <v>0</v>
      </c>
      <c r="C1" s="32" t="s">
        <v>1</v>
      </c>
      <c r="D1" s="32" t="s">
        <v>2</v>
      </c>
      <c r="E1" s="33" t="s">
        <v>3</v>
      </c>
      <c r="F1" s="34" t="s">
        <v>4</v>
      </c>
      <c r="G1" s="34" t="s">
        <v>5</v>
      </c>
      <c r="H1" s="34" t="s">
        <v>6</v>
      </c>
      <c r="I1" s="34" t="s">
        <v>7</v>
      </c>
      <c r="J1" s="34" t="s">
        <v>8</v>
      </c>
      <c r="K1" s="34" t="s">
        <v>9</v>
      </c>
      <c r="L1" s="34" t="s">
        <v>10</v>
      </c>
    </row>
    <row r="2" spans="1:27" ht="15" customHeight="1">
      <c r="A2" s="31" t="s">
        <v>11</v>
      </c>
      <c r="B2" s="35" t="s">
        <v>12</v>
      </c>
      <c r="C2" s="29">
        <v>1.5</v>
      </c>
      <c r="D2" s="29">
        <v>1.6</v>
      </c>
      <c r="E2" s="36">
        <v>1.8</v>
      </c>
      <c r="F2" s="4">
        <v>2.1</v>
      </c>
      <c r="G2" s="4">
        <v>2.2999999999999998</v>
      </c>
      <c r="H2" s="4">
        <v>2.4</v>
      </c>
      <c r="I2" s="4">
        <v>2.4</v>
      </c>
      <c r="J2" s="4">
        <v>1.8</v>
      </c>
      <c r="K2" s="4">
        <v>2.5</v>
      </c>
      <c r="L2" s="4">
        <v>2.4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7" ht="15" customHeight="1">
      <c r="A3" s="31" t="s">
        <v>13</v>
      </c>
      <c r="B3" s="35" t="s">
        <v>12</v>
      </c>
      <c r="C3" s="29">
        <v>3.4</v>
      </c>
      <c r="D3" s="29">
        <v>3.5</v>
      </c>
      <c r="E3" s="36">
        <v>3.8</v>
      </c>
      <c r="F3" s="4">
        <v>3.5</v>
      </c>
      <c r="G3" s="4">
        <v>4.2</v>
      </c>
      <c r="H3" s="4">
        <v>4</v>
      </c>
      <c r="I3" s="4">
        <v>4.8</v>
      </c>
      <c r="J3" s="4">
        <v>4.7</v>
      </c>
      <c r="K3" s="4">
        <v>4.7</v>
      </c>
      <c r="L3" s="4">
        <v>4.7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7" s="11" customFormat="1" ht="15" customHeight="1">
      <c r="A4" s="31" t="s">
        <v>14</v>
      </c>
      <c r="B4" s="35" t="s">
        <v>12</v>
      </c>
      <c r="C4" s="8">
        <v>5.2</v>
      </c>
      <c r="D4" s="8">
        <v>4.5999999999999996</v>
      </c>
      <c r="E4" s="17">
        <v>5.3</v>
      </c>
      <c r="F4" s="27">
        <v>5.7</v>
      </c>
      <c r="G4" s="27">
        <v>5.6</v>
      </c>
      <c r="H4" s="27">
        <v>5.6</v>
      </c>
      <c r="I4" s="27">
        <v>6</v>
      </c>
      <c r="J4" s="27">
        <v>5.8</v>
      </c>
      <c r="K4" s="27">
        <v>6.2</v>
      </c>
      <c r="L4" s="27">
        <v>6.1</v>
      </c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</row>
    <row r="5" spans="1:27" s="30" customFormat="1" ht="15" customHeight="1"/>
    <row r="6" spans="1:27" s="30" customFormat="1" ht="15" customHeight="1"/>
    <row r="7" spans="1:27" s="30" customFormat="1"/>
    <row r="8" spans="1:27">
      <c r="A8" s="30"/>
      <c r="B8" s="30"/>
      <c r="C8" s="30"/>
      <c r="D8" s="53" t="s">
        <v>15</v>
      </c>
      <c r="E8" s="50" t="s">
        <v>11</v>
      </c>
      <c r="F8" s="50"/>
      <c r="G8" s="51" t="s">
        <v>13</v>
      </c>
      <c r="H8" s="52"/>
      <c r="I8" s="51" t="s">
        <v>14</v>
      </c>
      <c r="J8" s="52"/>
      <c r="K8" s="30"/>
      <c r="L8" s="30"/>
    </row>
    <row r="9" spans="1:27" ht="28.5" customHeight="1">
      <c r="A9" s="30"/>
      <c r="B9" s="30"/>
      <c r="C9" s="30"/>
      <c r="D9" s="53"/>
      <c r="E9" s="39" t="s">
        <v>16</v>
      </c>
      <c r="F9" s="39" t="s">
        <v>17</v>
      </c>
      <c r="G9" s="39" t="s">
        <v>16</v>
      </c>
      <c r="H9" s="39" t="s">
        <v>17</v>
      </c>
      <c r="I9" s="39" t="s">
        <v>16</v>
      </c>
      <c r="J9" s="39" t="s">
        <v>17</v>
      </c>
      <c r="K9" s="30"/>
      <c r="L9" s="30"/>
    </row>
    <row r="10" spans="1:27" ht="27" customHeight="1">
      <c r="A10" s="30"/>
      <c r="B10" s="30"/>
      <c r="C10" s="30"/>
      <c r="D10" s="40" t="s">
        <v>0</v>
      </c>
      <c r="E10" s="41">
        <f>AVERAGE(C2:L2)</f>
        <v>2.08</v>
      </c>
      <c r="F10" s="41">
        <f>ROUND(_xlfn.STDEV.S(C2:L2),2)</f>
        <v>0.37</v>
      </c>
      <c r="G10" s="41">
        <f>AVERAGE(C3:L3)</f>
        <v>4.1300000000000008</v>
      </c>
      <c r="H10" s="42">
        <f>ROUND(_xlfn.STDEV.S(C3:L3),2)</f>
        <v>0.56999999999999995</v>
      </c>
      <c r="I10" s="41">
        <f>AVERAGE(C4:L4)</f>
        <v>5.61</v>
      </c>
      <c r="J10" s="41">
        <f>ROUND(_xlfn.STDEV.S(C4:L4),2)</f>
        <v>0.48</v>
      </c>
      <c r="K10" s="30"/>
      <c r="L10" s="30"/>
    </row>
    <row r="11" spans="1:27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</row>
    <row r="12" spans="1:27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</row>
    <row r="13" spans="1:27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</row>
    <row r="14" spans="1:27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</row>
    <row r="15" spans="1:27">
      <c r="A15" s="37"/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</row>
    <row r="16" spans="1:27">
      <c r="A16" s="37"/>
      <c r="B16" s="44"/>
      <c r="C16" s="45"/>
      <c r="D16" s="45"/>
      <c r="E16" s="45"/>
      <c r="F16" s="45"/>
      <c r="G16" s="45"/>
      <c r="H16" s="45"/>
      <c r="I16" s="45"/>
      <c r="J16" s="45"/>
      <c r="K16" s="45"/>
      <c r="L16" s="45"/>
    </row>
    <row r="17" spans="1:12">
      <c r="A17" s="37"/>
      <c r="B17" s="44"/>
      <c r="C17" s="45"/>
      <c r="D17" s="45"/>
      <c r="E17" s="45"/>
      <c r="F17" s="45"/>
      <c r="G17" s="45"/>
      <c r="H17" s="45"/>
      <c r="I17" s="45"/>
      <c r="J17" s="45"/>
      <c r="K17" s="45"/>
      <c r="L17" s="45"/>
    </row>
    <row r="18" spans="1:12">
      <c r="A18" s="37"/>
      <c r="B18" s="37"/>
      <c r="C18" s="38"/>
      <c r="D18" s="38"/>
      <c r="E18" s="38"/>
      <c r="F18" s="38"/>
      <c r="G18" s="38"/>
      <c r="H18" s="38"/>
      <c r="I18" s="38"/>
      <c r="J18" s="38"/>
      <c r="K18" s="38"/>
      <c r="L18" s="38"/>
    </row>
    <row r="19" spans="1:12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</row>
    <row r="20" spans="1:12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</row>
    <row r="21" spans="1:12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</row>
    <row r="22" spans="1:1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</row>
    <row r="23" spans="1:12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</row>
    <row r="24" spans="1:12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</row>
    <row r="25" spans="1:12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</row>
    <row r="26" spans="1:12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</row>
    <row r="27" spans="1:12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</row>
    <row r="28" spans="1:12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</row>
    <row r="29" spans="1:12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</row>
    <row r="30" spans="1:12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</row>
    <row r="31" spans="1:12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</row>
    <row r="32" spans="1:1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</row>
    <row r="33" spans="1:12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</row>
    <row r="34" spans="1:12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</row>
    <row r="35" spans="1:12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</row>
    <row r="36" spans="1:12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</row>
    <row r="37" spans="1:12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</row>
    <row r="38" spans="1:12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</row>
    <row r="39" spans="1:12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</row>
    <row r="40" spans="1:12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</row>
    <row r="41" spans="1:12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</row>
    <row r="42" spans="1:1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</row>
    <row r="43" spans="1:12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</row>
    <row r="44" spans="1:12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</row>
    <row r="45" spans="1:12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</row>
    <row r="46" spans="1:12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</row>
    <row r="47" spans="1:12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</row>
    <row r="48" spans="1:12">
      <c r="C48" s="30"/>
      <c r="D48" s="30"/>
      <c r="E48" s="30"/>
      <c r="F48" s="30"/>
      <c r="G48" s="30"/>
      <c r="H48" s="30"/>
      <c r="I48" s="30"/>
      <c r="J48" s="30"/>
      <c r="K48" s="30"/>
      <c r="L48" s="30"/>
    </row>
  </sheetData>
  <protectedRanges>
    <protectedRange sqref="C2:L4" name="Range1"/>
  </protectedRanges>
  <mergeCells count="4">
    <mergeCell ref="E8:F8"/>
    <mergeCell ref="G8:H8"/>
    <mergeCell ref="I8:J8"/>
    <mergeCell ref="D8:D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26"/>
  <sheetViews>
    <sheetView zoomScale="75" zoomScaleNormal="75" workbookViewId="0">
      <selection activeCell="J25" sqref="J25"/>
    </sheetView>
  </sheetViews>
  <sheetFormatPr defaultColWidth="9" defaultRowHeight="13.5" customHeight="1"/>
  <cols>
    <col min="2" max="2" width="14" customWidth="1"/>
    <col min="3" max="38" width="9.625" customWidth="1"/>
  </cols>
  <sheetData>
    <row r="1" spans="1:36" ht="15" customHeight="1">
      <c r="A1" s="48" t="s">
        <v>11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36" ht="15" customHeight="1">
      <c r="A2" s="48"/>
      <c r="B2" s="3">
        <v>0.1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</row>
    <row r="3" spans="1:36" ht="15" customHeight="1">
      <c r="A3" s="48"/>
      <c r="B3" s="3">
        <v>0.2</v>
      </c>
      <c r="C3" s="4">
        <v>3.2</v>
      </c>
      <c r="D3" s="4">
        <v>2</v>
      </c>
      <c r="E3" s="4">
        <v>2</v>
      </c>
      <c r="F3" s="4">
        <v>2.1</v>
      </c>
      <c r="G3" s="4">
        <v>2.1</v>
      </c>
      <c r="H3" s="4">
        <v>3.6</v>
      </c>
      <c r="I3" s="4">
        <v>2.4</v>
      </c>
      <c r="J3" s="4">
        <v>2.2999999999999998</v>
      </c>
      <c r="K3" s="4">
        <v>2.4</v>
      </c>
      <c r="L3" s="4">
        <v>1.6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spans="1:36" ht="15" customHeight="1">
      <c r="A4" s="48"/>
      <c r="B4" s="3">
        <v>0.3</v>
      </c>
      <c r="C4" s="4">
        <v>2.4</v>
      </c>
      <c r="D4" s="4">
        <v>2.2000000000000002</v>
      </c>
      <c r="E4" s="4">
        <v>2.4</v>
      </c>
      <c r="F4" s="4">
        <v>2</v>
      </c>
      <c r="G4" s="4">
        <v>2.5</v>
      </c>
      <c r="H4" s="4">
        <v>2</v>
      </c>
      <c r="I4" s="4">
        <v>2</v>
      </c>
      <c r="J4" s="4">
        <v>2.2999999999999998</v>
      </c>
      <c r="K4" s="4">
        <v>2</v>
      </c>
      <c r="L4" s="4">
        <v>2.1</v>
      </c>
    </row>
    <row r="5" spans="1:36" ht="15" customHeight="1">
      <c r="A5" s="48"/>
      <c r="B5" s="3">
        <v>0.5</v>
      </c>
      <c r="C5" s="4">
        <v>3.1</v>
      </c>
      <c r="D5" s="4">
        <v>3.1</v>
      </c>
      <c r="E5" s="4">
        <v>3.2</v>
      </c>
      <c r="F5" s="4">
        <v>2.5</v>
      </c>
      <c r="G5" s="4">
        <v>2.4</v>
      </c>
      <c r="H5" s="4">
        <v>2.2999999999999998</v>
      </c>
      <c r="I5" s="4">
        <v>2.5</v>
      </c>
      <c r="J5" s="4">
        <v>2.1</v>
      </c>
      <c r="K5" s="4">
        <v>2.5</v>
      </c>
      <c r="L5" s="4">
        <v>2.1</v>
      </c>
    </row>
    <row r="7" spans="1:36" ht="16.5">
      <c r="A7" s="48" t="s">
        <v>13</v>
      </c>
      <c r="B7" s="1" t="s">
        <v>18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</row>
    <row r="8" spans="1:36">
      <c r="A8" s="48"/>
      <c r="B8" s="3">
        <v>0.1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</row>
    <row r="9" spans="1:36">
      <c r="A9" s="48"/>
      <c r="B9" s="3">
        <v>0.2</v>
      </c>
      <c r="C9" s="4">
        <v>5.0999999999999996</v>
      </c>
      <c r="D9" s="4">
        <v>5.0999999999999996</v>
      </c>
      <c r="E9" s="4">
        <v>5</v>
      </c>
      <c r="F9" s="4">
        <v>4.8</v>
      </c>
      <c r="G9" s="4">
        <v>5.3</v>
      </c>
      <c r="H9" s="4">
        <v>5</v>
      </c>
      <c r="I9" s="4">
        <v>4.5</v>
      </c>
      <c r="J9" s="4">
        <v>5.5</v>
      </c>
      <c r="K9" s="4">
        <v>5.4</v>
      </c>
      <c r="L9" s="4">
        <v>5.7</v>
      </c>
    </row>
    <row r="10" spans="1:36">
      <c r="A10" s="48"/>
      <c r="B10" s="3">
        <v>0.3</v>
      </c>
      <c r="C10" s="4">
        <v>4.4000000000000004</v>
      </c>
      <c r="D10" s="4">
        <v>5.6</v>
      </c>
      <c r="E10" s="4">
        <v>5</v>
      </c>
      <c r="F10" s="4">
        <v>5.2</v>
      </c>
      <c r="G10" s="4">
        <v>4.7</v>
      </c>
      <c r="H10" s="4">
        <v>4.2</v>
      </c>
      <c r="I10" s="4">
        <v>4.8</v>
      </c>
      <c r="J10" s="4">
        <v>5.7</v>
      </c>
      <c r="K10" s="4">
        <v>5.5</v>
      </c>
      <c r="L10" s="4">
        <v>4.9000000000000004</v>
      </c>
    </row>
    <row r="11" spans="1:36">
      <c r="A11" s="48"/>
      <c r="B11" s="3">
        <v>0.5</v>
      </c>
      <c r="C11" s="4">
        <v>5.6</v>
      </c>
      <c r="D11" s="4">
        <v>5.7</v>
      </c>
      <c r="E11" s="4">
        <v>6</v>
      </c>
      <c r="F11" s="4">
        <v>5.9</v>
      </c>
      <c r="G11" s="4">
        <v>5.4</v>
      </c>
      <c r="H11" s="4">
        <v>5.2</v>
      </c>
      <c r="I11" s="4">
        <v>5.4</v>
      </c>
      <c r="J11" s="4">
        <v>4.9000000000000004</v>
      </c>
      <c r="K11" s="4">
        <v>5.4</v>
      </c>
      <c r="L11" s="4">
        <v>5.9</v>
      </c>
    </row>
    <row r="13" spans="1:36" ht="16.5">
      <c r="A13" s="48" t="s">
        <v>14</v>
      </c>
      <c r="B13" s="1" t="s">
        <v>18</v>
      </c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I13" s="1" t="s">
        <v>7</v>
      </c>
      <c r="J13" s="1" t="s">
        <v>8</v>
      </c>
      <c r="K13" s="1" t="s">
        <v>9</v>
      </c>
      <c r="L13" s="1" t="s">
        <v>10</v>
      </c>
    </row>
    <row r="14" spans="1:36">
      <c r="A14" s="48"/>
      <c r="B14" s="3">
        <v>0.1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</row>
    <row r="15" spans="1:36">
      <c r="A15" s="48"/>
      <c r="B15" s="3">
        <v>0.2</v>
      </c>
      <c r="C15" s="4">
        <v>6.5</v>
      </c>
      <c r="D15" s="4">
        <v>6.4</v>
      </c>
      <c r="E15" s="4">
        <v>6.7</v>
      </c>
      <c r="F15" s="4">
        <v>6.5</v>
      </c>
      <c r="G15" s="4">
        <v>5.9</v>
      </c>
      <c r="H15" s="4">
        <v>5.2</v>
      </c>
      <c r="I15" s="4">
        <v>6.5</v>
      </c>
      <c r="J15" s="4">
        <v>7</v>
      </c>
      <c r="K15" s="4">
        <v>6.9</v>
      </c>
      <c r="L15" s="4">
        <v>6</v>
      </c>
    </row>
    <row r="16" spans="1:36">
      <c r="A16" s="48"/>
      <c r="B16" s="3">
        <v>0.3</v>
      </c>
      <c r="C16" s="4">
        <v>7.5</v>
      </c>
      <c r="D16" s="4">
        <v>7.5</v>
      </c>
      <c r="E16" s="4">
        <v>8</v>
      </c>
      <c r="F16" s="4">
        <v>7.9</v>
      </c>
      <c r="G16" s="4">
        <v>7.9</v>
      </c>
      <c r="H16" s="4">
        <v>7.4</v>
      </c>
      <c r="I16" s="4">
        <v>6.8</v>
      </c>
      <c r="J16" s="4">
        <v>7</v>
      </c>
      <c r="K16" s="4">
        <v>7.1</v>
      </c>
      <c r="L16" s="4">
        <v>6.8</v>
      </c>
    </row>
    <row r="17" spans="1:12">
      <c r="A17" s="48"/>
      <c r="B17" s="3">
        <v>0.5</v>
      </c>
      <c r="C17" s="4">
        <v>8</v>
      </c>
      <c r="D17" s="4">
        <v>7.8</v>
      </c>
      <c r="E17" s="4">
        <v>7.7</v>
      </c>
      <c r="F17" s="4">
        <v>6.8</v>
      </c>
      <c r="G17" s="4">
        <v>7.9</v>
      </c>
      <c r="H17" s="4">
        <v>8.1999999999999993</v>
      </c>
      <c r="I17" s="4">
        <v>6.9</v>
      </c>
      <c r="J17" s="4">
        <v>7.7</v>
      </c>
      <c r="K17" s="4">
        <v>6.7</v>
      </c>
      <c r="L17" s="4">
        <v>7.7</v>
      </c>
    </row>
    <row r="18" spans="1:12" ht="6.6" customHeight="1"/>
    <row r="19" spans="1:12" ht="6.6" customHeight="1"/>
    <row r="20" spans="1:12">
      <c r="B20" s="55" t="s">
        <v>15</v>
      </c>
      <c r="C20" s="54" t="s">
        <v>11</v>
      </c>
      <c r="D20" s="54"/>
      <c r="E20" s="54" t="s">
        <v>13</v>
      </c>
      <c r="F20" s="54"/>
      <c r="G20" s="54" t="s">
        <v>14</v>
      </c>
      <c r="H20" s="54"/>
    </row>
    <row r="21" spans="1:12">
      <c r="B21" s="55"/>
      <c r="C21" s="28" t="s">
        <v>16</v>
      </c>
      <c r="D21" s="28" t="s">
        <v>17</v>
      </c>
      <c r="E21" s="28" t="s">
        <v>16</v>
      </c>
      <c r="F21" s="28" t="s">
        <v>17</v>
      </c>
      <c r="G21" s="28" t="s">
        <v>16</v>
      </c>
      <c r="H21" s="28" t="s">
        <v>17</v>
      </c>
    </row>
    <row r="22" spans="1:12">
      <c r="B22" s="29">
        <v>0.1</v>
      </c>
      <c r="C22" s="8">
        <f>AVERAGE(C2:L2)</f>
        <v>0</v>
      </c>
      <c r="D22" s="8">
        <f>ROUND(_xlfn.STDEV.S(C2:L2),2)</f>
        <v>0</v>
      </c>
      <c r="E22" s="8">
        <f>AVERAGE(C8:L8)</f>
        <v>0</v>
      </c>
      <c r="F22" s="8">
        <f>ROUND(_xlfn.STDEV.S(C8:L8),2)</f>
        <v>0</v>
      </c>
      <c r="G22" s="8">
        <f>AVERAGE(C14:L14)</f>
        <v>0</v>
      </c>
      <c r="H22" s="8">
        <f>ROUND(_xlfn.STDEV.S(C14:L14),2)</f>
        <v>0</v>
      </c>
    </row>
    <row r="23" spans="1:12">
      <c r="B23" s="29">
        <v>0.2</v>
      </c>
      <c r="C23" s="8">
        <f>AVERAGE(C3:L3)</f>
        <v>2.37</v>
      </c>
      <c r="D23" s="8">
        <f>ROUND(_xlfn.STDEV.S(C3:L3),2)</f>
        <v>0.6</v>
      </c>
      <c r="E23" s="8">
        <f>AVERAGE(C9:L9)</f>
        <v>5.14</v>
      </c>
      <c r="F23" s="8">
        <f>ROUND(_xlfn.STDEV.S(C9:L9),2)</f>
        <v>0.35</v>
      </c>
      <c r="G23" s="8">
        <f>AVERAGE(C15:L15)</f>
        <v>6.36</v>
      </c>
      <c r="H23" s="8">
        <f>ROUND(_xlfn.STDEV.S(C15:L15),2)</f>
        <v>0.53</v>
      </c>
    </row>
    <row r="24" spans="1:12">
      <c r="B24" s="29">
        <v>0.3</v>
      </c>
      <c r="C24" s="8">
        <f>AVERAGE(C4:L4)</f>
        <v>2.1900000000000004</v>
      </c>
      <c r="D24" s="8">
        <f>ROUND(_xlfn.STDEV.S(C4:L4),2)</f>
        <v>0.2</v>
      </c>
      <c r="E24" s="8">
        <f>AVERAGE(C10:L10)</f>
        <v>5</v>
      </c>
      <c r="F24" s="8">
        <f>ROUND(_xlfn.STDEV.S(C10:L10),2)</f>
        <v>0.5</v>
      </c>
      <c r="G24" s="8">
        <f>AVERAGE(C16:L16)</f>
        <v>7.3899999999999988</v>
      </c>
      <c r="H24" s="8">
        <f>ROUND(_xlfn.STDEV.S(C16:L16),2)</f>
        <v>0.45</v>
      </c>
    </row>
    <row r="25" spans="1:12">
      <c r="B25" s="29">
        <v>0.5</v>
      </c>
      <c r="C25" s="8">
        <f>AVERAGE(C5:L5)</f>
        <v>2.5800000000000005</v>
      </c>
      <c r="D25" s="8">
        <f>ROUND(_xlfn.STDEV.S(C5:L5),2)</f>
        <v>0.41</v>
      </c>
      <c r="E25" s="8">
        <f>AVERAGE(C11:L11)</f>
        <v>5.54</v>
      </c>
      <c r="F25" s="8">
        <f>ROUND(_xlfn.STDEV.S(C11:L11),2)</f>
        <v>0.35</v>
      </c>
      <c r="G25" s="8">
        <f>AVERAGE(C17:L17)</f>
        <v>7.5400000000000009</v>
      </c>
      <c r="H25" s="8">
        <f>ROUND(_xlfn.STDEV.S(C17:L17),2)</f>
        <v>0.54</v>
      </c>
    </row>
    <row r="26" spans="1:12">
      <c r="B26" s="8" t="s">
        <v>0</v>
      </c>
      <c r="C26" s="8">
        <f>'Control Onion'!E10</f>
        <v>2.08</v>
      </c>
      <c r="D26" s="8">
        <f>'Control Onion'!F10</f>
        <v>0.37</v>
      </c>
      <c r="E26" s="8">
        <f>'Control Onion'!G10</f>
        <v>4.1300000000000008</v>
      </c>
      <c r="F26" s="8">
        <f>'Control Onion'!H10</f>
        <v>0.56999999999999995</v>
      </c>
      <c r="G26" s="8">
        <f>'Control Onion'!I10</f>
        <v>5.61</v>
      </c>
      <c r="H26" s="8">
        <f>'Control Onion'!J10</f>
        <v>0.48</v>
      </c>
    </row>
  </sheetData>
  <mergeCells count="7">
    <mergeCell ref="C20:D20"/>
    <mergeCell ref="E20:F20"/>
    <mergeCell ref="G20:H20"/>
    <mergeCell ref="A1:A5"/>
    <mergeCell ref="A7:A11"/>
    <mergeCell ref="A13:A17"/>
    <mergeCell ref="B20:B21"/>
  </mergeCells>
  <pageMargins left="0.7" right="0.7" top="0.75" bottom="0.75" header="0.3" footer="0.3"/>
  <ignoredErrors>
    <ignoredError sqref="C23:H25 D22:H2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26"/>
  <sheetViews>
    <sheetView zoomScale="70" zoomScaleNormal="70" workbookViewId="0">
      <selection activeCell="L30" sqref="L30"/>
    </sheetView>
  </sheetViews>
  <sheetFormatPr defaultColWidth="9" defaultRowHeight="13.5" customHeight="1"/>
  <cols>
    <col min="2" max="2" width="13.125" customWidth="1"/>
    <col min="3" max="38" width="9.625" customWidth="1"/>
  </cols>
  <sheetData>
    <row r="1" spans="1:36" ht="15" customHeight="1">
      <c r="A1" s="48" t="s">
        <v>11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36" ht="15" customHeight="1">
      <c r="A2" s="48"/>
      <c r="B2" s="3">
        <v>0.1</v>
      </c>
      <c r="C2" s="4">
        <v>1.8</v>
      </c>
      <c r="D2" s="4">
        <v>1.1000000000000001</v>
      </c>
      <c r="E2" s="4">
        <v>1</v>
      </c>
      <c r="F2" s="4">
        <v>1.4</v>
      </c>
      <c r="G2" s="4">
        <v>1.3</v>
      </c>
      <c r="H2" s="4">
        <v>1.5</v>
      </c>
      <c r="I2" s="4">
        <v>1</v>
      </c>
      <c r="J2" s="4">
        <v>1.5</v>
      </c>
      <c r="K2" s="4">
        <v>1</v>
      </c>
      <c r="L2" s="4">
        <v>1</v>
      </c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</row>
    <row r="3" spans="1:36" ht="15" customHeight="1">
      <c r="A3" s="48"/>
      <c r="B3" s="3">
        <v>0.2</v>
      </c>
      <c r="C3" s="4">
        <v>1.5</v>
      </c>
      <c r="D3" s="4">
        <v>1.4</v>
      </c>
      <c r="E3" s="4">
        <v>1.9</v>
      </c>
      <c r="F3" s="4">
        <v>1.8</v>
      </c>
      <c r="G3" s="4">
        <v>1.4</v>
      </c>
      <c r="H3" s="4">
        <v>1.3</v>
      </c>
      <c r="I3" s="4">
        <v>1.3</v>
      </c>
      <c r="J3" s="4">
        <v>2.2000000000000002</v>
      </c>
      <c r="K3" s="4">
        <v>1</v>
      </c>
      <c r="L3" s="4">
        <v>1.2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spans="1:36" ht="15" customHeight="1">
      <c r="A4" s="48"/>
      <c r="B4" s="3">
        <v>0.3</v>
      </c>
      <c r="C4" s="4">
        <v>1.5</v>
      </c>
      <c r="D4" s="4">
        <v>2</v>
      </c>
      <c r="E4" s="4">
        <v>2.2000000000000002</v>
      </c>
      <c r="F4" s="4">
        <v>1.8</v>
      </c>
      <c r="G4" s="4">
        <v>1.4</v>
      </c>
      <c r="H4" s="4">
        <v>1.7</v>
      </c>
      <c r="I4" s="4">
        <v>2.2999999999999998</v>
      </c>
      <c r="J4" s="4">
        <v>2</v>
      </c>
      <c r="K4" s="4">
        <v>2.2000000000000002</v>
      </c>
      <c r="L4" s="4">
        <v>2.1</v>
      </c>
    </row>
    <row r="5" spans="1:36" ht="15" customHeight="1">
      <c r="A5" s="48"/>
      <c r="B5" s="3">
        <v>0.5</v>
      </c>
      <c r="C5" s="4">
        <v>2.7</v>
      </c>
      <c r="D5" s="4">
        <v>2.5</v>
      </c>
      <c r="E5" s="4">
        <v>3</v>
      </c>
      <c r="F5" s="4">
        <v>2.9</v>
      </c>
      <c r="G5" s="4">
        <v>3</v>
      </c>
      <c r="H5" s="4">
        <v>2.9</v>
      </c>
      <c r="I5" s="4">
        <v>2.5</v>
      </c>
      <c r="J5" s="4">
        <v>2.9</v>
      </c>
      <c r="K5" s="4">
        <v>2.6</v>
      </c>
      <c r="L5" s="4">
        <v>2.7</v>
      </c>
    </row>
    <row r="7" spans="1:36" ht="16.5">
      <c r="A7" s="48" t="s">
        <v>13</v>
      </c>
      <c r="B7" s="1" t="s">
        <v>18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</row>
    <row r="8" spans="1:36">
      <c r="A8" s="48"/>
      <c r="B8" s="3">
        <v>0.1</v>
      </c>
      <c r="C8" s="4">
        <v>2.4</v>
      </c>
      <c r="D8" s="4">
        <v>2.5</v>
      </c>
      <c r="E8" s="4">
        <v>2.1</v>
      </c>
      <c r="F8" s="4">
        <v>3.1</v>
      </c>
      <c r="G8" s="4">
        <v>2.9</v>
      </c>
      <c r="H8" s="4">
        <v>1.8</v>
      </c>
      <c r="I8" s="4">
        <v>2.2999999999999998</v>
      </c>
      <c r="J8" s="4">
        <v>2.8</v>
      </c>
      <c r="K8" s="4">
        <v>2</v>
      </c>
      <c r="L8" s="4">
        <v>1.6</v>
      </c>
    </row>
    <row r="9" spans="1:36">
      <c r="A9" s="48"/>
      <c r="B9" s="3">
        <v>0.2</v>
      </c>
      <c r="C9" s="4">
        <v>2.8</v>
      </c>
      <c r="D9" s="4">
        <v>2.2999999999999998</v>
      </c>
      <c r="E9" s="4">
        <v>3.2</v>
      </c>
      <c r="F9" s="4">
        <v>2.5</v>
      </c>
      <c r="G9" s="4">
        <v>3.8</v>
      </c>
      <c r="H9" s="4">
        <v>3.5</v>
      </c>
      <c r="I9" s="4">
        <v>3.3</v>
      </c>
      <c r="J9" s="4">
        <v>2.8</v>
      </c>
      <c r="K9" s="4">
        <v>2.8</v>
      </c>
      <c r="L9" s="4">
        <v>2.2000000000000002</v>
      </c>
    </row>
    <row r="10" spans="1:36">
      <c r="A10" s="48"/>
      <c r="B10" s="3">
        <v>0.3</v>
      </c>
      <c r="C10" s="4">
        <v>4.0999999999999996</v>
      </c>
      <c r="D10" s="4">
        <v>4</v>
      </c>
      <c r="E10" s="4">
        <v>3.9</v>
      </c>
      <c r="F10" s="4">
        <v>3.3</v>
      </c>
      <c r="G10" s="4">
        <v>3.4</v>
      </c>
      <c r="H10" s="4">
        <v>3.1</v>
      </c>
      <c r="I10" s="4">
        <v>4.2</v>
      </c>
      <c r="J10" s="4">
        <v>4.5999999999999996</v>
      </c>
      <c r="K10" s="4">
        <v>3.6</v>
      </c>
      <c r="L10" s="4">
        <v>3.5</v>
      </c>
    </row>
    <row r="11" spans="1:36">
      <c r="A11" s="48"/>
      <c r="B11" s="3">
        <v>0.5</v>
      </c>
      <c r="C11" s="4">
        <v>5.6</v>
      </c>
      <c r="D11" s="4">
        <v>5.4</v>
      </c>
      <c r="E11" s="4">
        <v>5.0999999999999996</v>
      </c>
      <c r="F11" s="4">
        <v>5.9</v>
      </c>
      <c r="G11" s="4">
        <v>5.5</v>
      </c>
      <c r="H11" s="4">
        <v>5.6</v>
      </c>
      <c r="I11" s="4">
        <v>5.5</v>
      </c>
      <c r="J11" s="4">
        <v>6.5</v>
      </c>
      <c r="K11" s="4">
        <v>5.5</v>
      </c>
      <c r="L11" s="4">
        <v>6.3</v>
      </c>
    </row>
    <row r="13" spans="1:36" ht="16.5">
      <c r="A13" s="48" t="s">
        <v>14</v>
      </c>
      <c r="B13" s="1" t="s">
        <v>18</v>
      </c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I13" s="1" t="s">
        <v>7</v>
      </c>
      <c r="J13" s="1" t="s">
        <v>8</v>
      </c>
      <c r="K13" s="1" t="s">
        <v>9</v>
      </c>
      <c r="L13" s="1" t="s">
        <v>10</v>
      </c>
    </row>
    <row r="14" spans="1:36">
      <c r="A14" s="48"/>
      <c r="B14" s="3">
        <v>0.1</v>
      </c>
      <c r="C14" s="4">
        <v>4</v>
      </c>
      <c r="D14" s="4">
        <v>4.5</v>
      </c>
      <c r="E14" s="4">
        <v>3.5</v>
      </c>
      <c r="F14" s="4">
        <v>3</v>
      </c>
      <c r="G14" s="4">
        <v>4</v>
      </c>
      <c r="H14" s="4">
        <v>2.4</v>
      </c>
      <c r="I14" s="4">
        <v>3.9</v>
      </c>
      <c r="J14" s="4">
        <v>2.8</v>
      </c>
      <c r="K14" s="4">
        <v>2.2000000000000002</v>
      </c>
      <c r="L14" s="4">
        <v>2.1</v>
      </c>
    </row>
    <row r="15" spans="1:36">
      <c r="A15" s="48"/>
      <c r="B15" s="3">
        <v>0.2</v>
      </c>
      <c r="C15" s="4">
        <v>4.7</v>
      </c>
      <c r="D15" s="4">
        <v>4.7</v>
      </c>
      <c r="E15" s="4">
        <v>4.2</v>
      </c>
      <c r="F15" s="4">
        <v>3.4</v>
      </c>
      <c r="G15" s="4">
        <v>3.4</v>
      </c>
      <c r="H15" s="4">
        <v>3.9</v>
      </c>
      <c r="I15" s="4">
        <v>3.7</v>
      </c>
      <c r="J15" s="4">
        <v>3.8</v>
      </c>
      <c r="K15" s="4">
        <v>2.7</v>
      </c>
      <c r="L15" s="4">
        <v>3.4</v>
      </c>
    </row>
    <row r="16" spans="1:36">
      <c r="A16" s="48"/>
      <c r="B16" s="3">
        <v>0.3</v>
      </c>
      <c r="C16" s="4">
        <v>5.4</v>
      </c>
      <c r="D16" s="4">
        <v>5.2</v>
      </c>
      <c r="E16" s="4">
        <v>5</v>
      </c>
      <c r="F16" s="4">
        <v>4.2</v>
      </c>
      <c r="G16" s="4">
        <v>5.0999999999999996</v>
      </c>
      <c r="H16" s="4">
        <v>4.8</v>
      </c>
      <c r="I16" s="4">
        <v>4.9000000000000004</v>
      </c>
      <c r="J16" s="4">
        <v>5.7</v>
      </c>
      <c r="K16" s="4">
        <v>4.4000000000000004</v>
      </c>
      <c r="L16" s="4">
        <v>4.0999999999999996</v>
      </c>
    </row>
    <row r="17" spans="1:12">
      <c r="A17" s="48"/>
      <c r="B17" s="3">
        <v>0.5</v>
      </c>
      <c r="C17" s="4">
        <v>6.6</v>
      </c>
      <c r="D17" s="4">
        <v>6</v>
      </c>
      <c r="E17" s="4">
        <v>8.3000000000000007</v>
      </c>
      <c r="F17" s="4">
        <v>7.9</v>
      </c>
      <c r="G17" s="4">
        <v>7.6</v>
      </c>
      <c r="H17" s="4">
        <v>8.5</v>
      </c>
      <c r="I17" s="4">
        <v>8.1999999999999993</v>
      </c>
      <c r="J17" s="4">
        <v>6.2</v>
      </c>
      <c r="K17" s="4">
        <v>6.3</v>
      </c>
      <c r="L17" s="4">
        <v>6</v>
      </c>
    </row>
    <row r="18" spans="1:12" ht="6.6" customHeight="1"/>
    <row r="19" spans="1:12" ht="6.6" customHeight="1"/>
    <row r="20" spans="1:12">
      <c r="B20" s="49" t="s">
        <v>15</v>
      </c>
      <c r="C20" s="56" t="s">
        <v>11</v>
      </c>
      <c r="D20" s="56"/>
      <c r="E20" s="46" t="s">
        <v>13</v>
      </c>
      <c r="F20" s="47"/>
      <c r="G20" s="46" t="s">
        <v>14</v>
      </c>
      <c r="H20" s="47"/>
    </row>
    <row r="21" spans="1:12">
      <c r="B21" s="49"/>
      <c r="C21" s="5" t="s">
        <v>16</v>
      </c>
      <c r="D21" s="5" t="s">
        <v>17</v>
      </c>
      <c r="E21" s="5" t="s">
        <v>16</v>
      </c>
      <c r="F21" s="5" t="s">
        <v>17</v>
      </c>
      <c r="G21" s="5" t="s">
        <v>16</v>
      </c>
      <c r="H21" s="5" t="s">
        <v>17</v>
      </c>
    </row>
    <row r="22" spans="1:12">
      <c r="B22" s="3">
        <v>0.1</v>
      </c>
      <c r="C22" s="2">
        <f>AVERAGE(C2:L2)</f>
        <v>1.2600000000000002</v>
      </c>
      <c r="D22" s="2">
        <f>ROUND(_xlfn.STDEV.S(C2:L2),2)</f>
        <v>0.28000000000000003</v>
      </c>
      <c r="E22" s="2">
        <f>AVERAGE(C8:L8)</f>
        <v>2.3500000000000005</v>
      </c>
      <c r="F22" s="2">
        <f>ROUND(_xlfn.STDEV.S(C8:L8),2)</f>
        <v>0.49</v>
      </c>
      <c r="G22" s="2">
        <f>AVERAGE(C14:L14)</f>
        <v>3.2399999999999998</v>
      </c>
      <c r="H22" s="2">
        <f>ROUND(_xlfn.STDEV.S(C14:L14),2)</f>
        <v>0.86</v>
      </c>
    </row>
    <row r="23" spans="1:12">
      <c r="B23" s="3">
        <v>0.2</v>
      </c>
      <c r="C23" s="2">
        <f>AVERAGE(C3:L3)</f>
        <v>1.5</v>
      </c>
      <c r="D23" s="2">
        <f>ROUND(_xlfn.STDEV.S(C3:L3),2)</f>
        <v>0.36</v>
      </c>
      <c r="E23" s="2">
        <f>AVERAGE(C9:L9)</f>
        <v>2.9200000000000004</v>
      </c>
      <c r="F23" s="2">
        <f>ROUND(_xlfn.STDEV.S(C9:L9),2)</f>
        <v>0.52</v>
      </c>
      <c r="G23" s="2">
        <f>AVERAGE(C15:L15)</f>
        <v>3.79</v>
      </c>
      <c r="H23" s="2">
        <f>ROUND(_xlfn.STDEV.S(C15:L15),2)</f>
        <v>0.62</v>
      </c>
    </row>
    <row r="24" spans="1:12">
      <c r="B24" s="3">
        <v>0.3</v>
      </c>
      <c r="C24" s="2">
        <f>AVERAGE(C4:L4)</f>
        <v>1.92</v>
      </c>
      <c r="D24" s="2">
        <f>ROUND(_xlfn.STDEV.S(C4:L4),2)</f>
        <v>0.31</v>
      </c>
      <c r="E24" s="2">
        <f>AVERAGE(C10:L10)</f>
        <v>3.7700000000000005</v>
      </c>
      <c r="F24" s="2">
        <f>ROUND(_xlfn.STDEV.S(C10:L10),2)</f>
        <v>0.47</v>
      </c>
      <c r="G24" s="2">
        <f>AVERAGE(C16:L16)</f>
        <v>4.8800000000000008</v>
      </c>
      <c r="H24" s="2">
        <f>ROUND(_xlfn.STDEV.S(C16:L16),2)</f>
        <v>0.52</v>
      </c>
    </row>
    <row r="25" spans="1:12">
      <c r="B25" s="3">
        <v>0.5</v>
      </c>
      <c r="C25" s="2">
        <f>AVERAGE(C5:L5)</f>
        <v>2.77</v>
      </c>
      <c r="D25" s="2">
        <f>ROUND(_xlfn.STDEV.S(C5:L5),2)</f>
        <v>0.19</v>
      </c>
      <c r="E25" s="2">
        <f>AVERAGE(C11:L11)</f>
        <v>5.6899999999999995</v>
      </c>
      <c r="F25" s="2">
        <f>ROUND(_xlfn.STDEV.S(C11:L11),2)</f>
        <v>0.43</v>
      </c>
      <c r="G25" s="2">
        <f>AVERAGE(C17:L17)</f>
        <v>7.1599999999999993</v>
      </c>
      <c r="H25" s="2">
        <f>ROUND(_xlfn.STDEV.S(C17:L17),2)</f>
        <v>1.03</v>
      </c>
    </row>
    <row r="26" spans="1:12">
      <c r="B26" s="8" t="s">
        <v>0</v>
      </c>
      <c r="C26" s="8">
        <f>'Control Onion'!E10</f>
        <v>2.08</v>
      </c>
      <c r="D26" s="8">
        <f>'Control Onion'!F10</f>
        <v>0.37</v>
      </c>
      <c r="E26" s="8">
        <f>'Control Onion'!G10</f>
        <v>4.1300000000000008</v>
      </c>
      <c r="F26" s="8">
        <f>'Control Onion'!H10</f>
        <v>0.56999999999999995</v>
      </c>
      <c r="G26" s="8">
        <f>'Control Onion'!I10</f>
        <v>5.61</v>
      </c>
      <c r="H26" s="8">
        <f>'Control Onion'!J10</f>
        <v>0.48</v>
      </c>
    </row>
  </sheetData>
  <mergeCells count="7">
    <mergeCell ref="C20:D20"/>
    <mergeCell ref="E20:F20"/>
    <mergeCell ref="G20:H20"/>
    <mergeCell ref="A1:A5"/>
    <mergeCell ref="A7:A11"/>
    <mergeCell ref="A13:A17"/>
    <mergeCell ref="B20:B21"/>
  </mergeCells>
  <pageMargins left="0.7" right="0.7" top="0.75" bottom="0.75" header="0.3" footer="0.3"/>
  <ignoredErrors>
    <ignoredError sqref="C22:H23 C25:H25 C24:E24 G24:H24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26"/>
  <sheetViews>
    <sheetView zoomScale="68" zoomScaleNormal="68" workbookViewId="0">
      <selection activeCell="C26" sqref="C26"/>
    </sheetView>
  </sheetViews>
  <sheetFormatPr defaultColWidth="9" defaultRowHeight="14.45"/>
  <cols>
    <col min="2" max="2" width="13.125" customWidth="1"/>
    <col min="3" max="39" width="9.625" customWidth="1"/>
  </cols>
  <sheetData>
    <row r="1" spans="1:37" ht="15" customHeight="1">
      <c r="A1" s="48" t="s">
        <v>11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16</v>
      </c>
    </row>
    <row r="2" spans="1:37" ht="15" customHeight="1">
      <c r="A2" s="48"/>
      <c r="B2" s="3">
        <v>0.1</v>
      </c>
      <c r="C2" s="4">
        <v>2.4</v>
      </c>
      <c r="D2" s="4">
        <v>2.9</v>
      </c>
      <c r="E2" s="4">
        <v>2.7</v>
      </c>
      <c r="F2" s="4">
        <v>2.4</v>
      </c>
      <c r="G2" s="4">
        <v>2.1</v>
      </c>
      <c r="H2" s="4">
        <v>2.2000000000000002</v>
      </c>
      <c r="I2" s="4">
        <v>3.1</v>
      </c>
      <c r="J2" s="4">
        <v>2.2000000000000002</v>
      </c>
      <c r="K2" s="4">
        <v>1.9</v>
      </c>
      <c r="L2" s="4">
        <v>1.5</v>
      </c>
      <c r="M2" s="4">
        <f>AVERAGE(C2:L2)</f>
        <v>2.34</v>
      </c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</row>
    <row r="3" spans="1:37" ht="15" customHeight="1">
      <c r="A3" s="48"/>
      <c r="B3" s="3">
        <v>0.2</v>
      </c>
      <c r="C3" s="4">
        <v>1.9</v>
      </c>
      <c r="D3" s="4">
        <v>1.9</v>
      </c>
      <c r="E3" s="4">
        <v>2.2000000000000002</v>
      </c>
      <c r="F3" s="4">
        <v>2</v>
      </c>
      <c r="G3" s="4">
        <v>2</v>
      </c>
      <c r="H3" s="4">
        <v>2.1</v>
      </c>
      <c r="I3" s="4">
        <v>1.5</v>
      </c>
      <c r="J3" s="4">
        <v>1.9</v>
      </c>
      <c r="K3" s="4">
        <v>1.8</v>
      </c>
      <c r="L3" s="4">
        <v>2</v>
      </c>
      <c r="M3" s="4">
        <f t="shared" ref="M3:M11" si="0">AVERAGE(C3:L3)</f>
        <v>1.93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ht="15" customHeight="1">
      <c r="A4" s="48"/>
      <c r="B4" s="3">
        <v>0.3</v>
      </c>
      <c r="C4" s="4">
        <v>2.4</v>
      </c>
      <c r="D4" s="4">
        <v>1.9</v>
      </c>
      <c r="E4" s="4">
        <v>2.1</v>
      </c>
      <c r="F4" s="4">
        <v>2.2999999999999998</v>
      </c>
      <c r="G4" s="4">
        <v>1.9</v>
      </c>
      <c r="H4" s="4">
        <v>2</v>
      </c>
      <c r="I4" s="4">
        <v>1.6</v>
      </c>
      <c r="J4" s="4">
        <v>1.7</v>
      </c>
      <c r="K4" s="4">
        <v>2.2999999999999998</v>
      </c>
      <c r="L4" s="4">
        <v>2</v>
      </c>
      <c r="M4" s="4">
        <f t="shared" si="0"/>
        <v>2.02</v>
      </c>
    </row>
    <row r="5" spans="1:37" ht="15" customHeight="1">
      <c r="A5" s="48"/>
      <c r="B5" s="3">
        <v>0.5</v>
      </c>
      <c r="C5" s="4">
        <v>3.5</v>
      </c>
      <c r="D5" s="4">
        <v>3.5</v>
      </c>
      <c r="E5" s="4">
        <v>2.2999999999999998</v>
      </c>
      <c r="F5" s="4">
        <v>2.4</v>
      </c>
      <c r="G5" s="4">
        <v>2.5</v>
      </c>
      <c r="H5" s="4">
        <v>2.4</v>
      </c>
      <c r="I5" s="4">
        <v>2.2000000000000002</v>
      </c>
      <c r="J5" s="4">
        <v>1.7</v>
      </c>
      <c r="K5" s="4">
        <v>1.5</v>
      </c>
      <c r="L5" s="4">
        <v>1.4</v>
      </c>
      <c r="M5" s="4">
        <f t="shared" si="0"/>
        <v>2.34</v>
      </c>
    </row>
    <row r="7" spans="1:37">
      <c r="A7" s="48" t="s">
        <v>13</v>
      </c>
      <c r="B7" s="1" t="s">
        <v>18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16</v>
      </c>
    </row>
    <row r="8" spans="1:37">
      <c r="A8" s="48"/>
      <c r="B8" s="3">
        <v>0.1</v>
      </c>
      <c r="C8" s="4">
        <v>5.9</v>
      </c>
      <c r="D8" s="4">
        <v>6.1</v>
      </c>
      <c r="E8" s="4">
        <v>6</v>
      </c>
      <c r="F8" s="4">
        <v>5.4</v>
      </c>
      <c r="G8" s="4">
        <v>5.5</v>
      </c>
      <c r="H8" s="4">
        <v>5</v>
      </c>
      <c r="I8" s="4">
        <v>5.0999999999999996</v>
      </c>
      <c r="J8" s="4">
        <v>4.2</v>
      </c>
      <c r="K8" s="4">
        <v>5.0999999999999996</v>
      </c>
      <c r="L8" s="4">
        <v>4.4000000000000004</v>
      </c>
      <c r="M8" s="4">
        <f t="shared" si="0"/>
        <v>5.27</v>
      </c>
    </row>
    <row r="9" spans="1:37">
      <c r="A9" s="48"/>
      <c r="B9" s="3">
        <v>0.2</v>
      </c>
      <c r="C9" s="4">
        <v>4.2</v>
      </c>
      <c r="D9" s="4">
        <v>3.4</v>
      </c>
      <c r="E9" s="4">
        <v>3.1</v>
      </c>
      <c r="F9" s="4">
        <v>3</v>
      </c>
      <c r="G9" s="4">
        <v>4.3</v>
      </c>
      <c r="H9" s="4">
        <v>4.0999999999999996</v>
      </c>
      <c r="I9" s="4">
        <v>3.7</v>
      </c>
      <c r="J9" s="4">
        <v>4.0999999999999996</v>
      </c>
      <c r="K9" s="4">
        <v>4.0999999999999996</v>
      </c>
      <c r="L9" s="4">
        <v>4.5</v>
      </c>
      <c r="M9" s="4">
        <f t="shared" si="0"/>
        <v>3.85</v>
      </c>
    </row>
    <row r="10" spans="1:37">
      <c r="A10" s="48"/>
      <c r="B10" s="3">
        <v>0.3</v>
      </c>
      <c r="C10" s="4">
        <v>6.2</v>
      </c>
      <c r="D10" s="4">
        <v>5.6</v>
      </c>
      <c r="E10" s="4">
        <v>5.5</v>
      </c>
      <c r="F10" s="4">
        <v>6.3</v>
      </c>
      <c r="G10" s="4">
        <v>5.9</v>
      </c>
      <c r="H10" s="4">
        <v>6.3</v>
      </c>
      <c r="I10" s="4">
        <v>5.4</v>
      </c>
      <c r="J10" s="4">
        <v>5.7</v>
      </c>
      <c r="K10" s="4">
        <v>6.5</v>
      </c>
      <c r="L10" s="4">
        <v>6.5</v>
      </c>
      <c r="M10" s="4">
        <f t="shared" si="0"/>
        <v>5.99</v>
      </c>
    </row>
    <row r="11" spans="1:37">
      <c r="A11" s="48"/>
      <c r="B11" s="3">
        <v>0.5</v>
      </c>
      <c r="C11" s="4">
        <v>7</v>
      </c>
      <c r="D11" s="4">
        <v>7.1</v>
      </c>
      <c r="E11" s="4">
        <v>7.6</v>
      </c>
      <c r="F11" s="4">
        <v>6.5</v>
      </c>
      <c r="G11" s="4">
        <v>6</v>
      </c>
      <c r="H11" s="4">
        <v>4.5</v>
      </c>
      <c r="I11" s="4">
        <v>6.8</v>
      </c>
      <c r="J11" s="4">
        <v>6.8</v>
      </c>
      <c r="K11" s="4">
        <v>4.5999999999999996</v>
      </c>
      <c r="L11" s="4">
        <v>4.4000000000000004</v>
      </c>
      <c r="M11" s="4">
        <f t="shared" si="0"/>
        <v>6.13</v>
      </c>
    </row>
    <row r="13" spans="1:37">
      <c r="A13" s="48" t="s">
        <v>14</v>
      </c>
      <c r="B13" s="1" t="s">
        <v>18</v>
      </c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I13" s="1" t="s">
        <v>7</v>
      </c>
      <c r="J13" s="1" t="s">
        <v>8</v>
      </c>
      <c r="K13" s="1" t="s">
        <v>9</v>
      </c>
      <c r="L13" s="1" t="s">
        <v>10</v>
      </c>
      <c r="M13" s="1" t="s">
        <v>16</v>
      </c>
    </row>
    <row r="14" spans="1:37">
      <c r="A14" s="48"/>
      <c r="B14" s="3">
        <v>0.1</v>
      </c>
      <c r="C14" s="4">
        <v>6.1</v>
      </c>
      <c r="D14" s="4">
        <v>5.6</v>
      </c>
      <c r="E14" s="4">
        <v>5.3</v>
      </c>
      <c r="F14" s="4">
        <v>5.0999999999999996</v>
      </c>
      <c r="G14" s="4">
        <v>5.9</v>
      </c>
      <c r="H14" s="4">
        <v>5.4</v>
      </c>
      <c r="I14" s="4">
        <v>4.9000000000000004</v>
      </c>
      <c r="J14" s="4">
        <v>7.2</v>
      </c>
      <c r="K14" s="4">
        <v>6.3</v>
      </c>
      <c r="L14" s="4">
        <v>6.4</v>
      </c>
      <c r="M14" s="4">
        <f t="shared" ref="M14:M17" si="1">AVERAGE(C14:L14)</f>
        <v>5.82</v>
      </c>
    </row>
    <row r="15" spans="1:37">
      <c r="A15" s="48"/>
      <c r="B15" s="3">
        <v>0.2</v>
      </c>
      <c r="C15" s="4">
        <v>5.2</v>
      </c>
      <c r="D15" s="4">
        <v>4.0999999999999996</v>
      </c>
      <c r="E15" s="4">
        <v>4</v>
      </c>
      <c r="F15" s="4">
        <v>4</v>
      </c>
      <c r="G15" s="4">
        <v>3.6</v>
      </c>
      <c r="H15" s="4">
        <v>3.6</v>
      </c>
      <c r="I15" s="4">
        <v>4.8</v>
      </c>
      <c r="J15" s="4">
        <v>4.5</v>
      </c>
      <c r="K15" s="4">
        <v>4.2</v>
      </c>
      <c r="L15" s="4">
        <v>4.3</v>
      </c>
      <c r="M15" s="4">
        <f t="shared" si="1"/>
        <v>4.2300000000000004</v>
      </c>
    </row>
    <row r="16" spans="1:37">
      <c r="A16" s="48"/>
      <c r="B16" s="3">
        <v>0.3</v>
      </c>
      <c r="C16" s="4">
        <v>8.1999999999999993</v>
      </c>
      <c r="D16" s="4">
        <v>8</v>
      </c>
      <c r="E16" s="4">
        <v>6.8</v>
      </c>
      <c r="F16" s="4">
        <v>7.3</v>
      </c>
      <c r="G16" s="4">
        <v>6.5</v>
      </c>
      <c r="H16" s="4">
        <v>6.1</v>
      </c>
      <c r="I16" s="4">
        <v>7.8</v>
      </c>
      <c r="J16" s="4">
        <v>7.6</v>
      </c>
      <c r="K16" s="4">
        <v>7.2</v>
      </c>
      <c r="L16" s="4">
        <v>7.4</v>
      </c>
      <c r="M16" s="4">
        <f t="shared" si="1"/>
        <v>7.29</v>
      </c>
    </row>
    <row r="17" spans="1:13">
      <c r="A17" s="48"/>
      <c r="B17" s="3">
        <v>0.5</v>
      </c>
      <c r="C17" s="4">
        <v>8.3000000000000007</v>
      </c>
      <c r="D17" s="4">
        <v>5.9</v>
      </c>
      <c r="E17" s="4">
        <v>6.7</v>
      </c>
      <c r="F17" s="4">
        <v>7.2</v>
      </c>
      <c r="G17" s="4">
        <v>5.7</v>
      </c>
      <c r="H17" s="4">
        <v>5.8</v>
      </c>
      <c r="I17" s="4">
        <v>5.0999999999999996</v>
      </c>
      <c r="J17" s="4">
        <v>6.6</v>
      </c>
      <c r="K17" s="4">
        <v>6.8</v>
      </c>
      <c r="L17" s="4">
        <v>6.9</v>
      </c>
      <c r="M17" s="4">
        <f t="shared" si="1"/>
        <v>6.5</v>
      </c>
    </row>
    <row r="18" spans="1:13" ht="4.9000000000000004" customHeight="1"/>
    <row r="19" spans="1:13" ht="6" customHeight="1"/>
    <row r="20" spans="1:13">
      <c r="B20" s="49" t="s">
        <v>15</v>
      </c>
      <c r="C20" s="56" t="s">
        <v>11</v>
      </c>
      <c r="D20" s="56"/>
      <c r="E20" s="46" t="s">
        <v>13</v>
      </c>
      <c r="F20" s="47"/>
      <c r="G20" s="46" t="s">
        <v>14</v>
      </c>
      <c r="H20" s="47"/>
    </row>
    <row r="21" spans="1:13">
      <c r="B21" s="49"/>
      <c r="C21" s="5" t="s">
        <v>16</v>
      </c>
      <c r="D21" s="5" t="s">
        <v>17</v>
      </c>
      <c r="E21" s="5" t="s">
        <v>16</v>
      </c>
      <c r="F21" s="5" t="s">
        <v>17</v>
      </c>
      <c r="G21" s="5" t="s">
        <v>16</v>
      </c>
      <c r="H21" s="5" t="s">
        <v>17</v>
      </c>
    </row>
    <row r="22" spans="1:13">
      <c r="B22" s="3">
        <v>0.1</v>
      </c>
      <c r="C22" s="2">
        <f>AVERAGE(C2:L2)</f>
        <v>2.34</v>
      </c>
      <c r="D22" s="2">
        <f>ROUND(_xlfn.STDEV.S(C2:L2),2)</f>
        <v>0.47</v>
      </c>
      <c r="E22" s="2">
        <f t="shared" ref="E22:E25" si="2">AVERAGE(C8:L8)</f>
        <v>5.27</v>
      </c>
      <c r="F22" s="2">
        <f t="shared" ref="F22:F25" si="3">ROUND(_xlfn.STDEV.S(C8:L8),2)</f>
        <v>0.64</v>
      </c>
      <c r="G22" s="2">
        <f t="shared" ref="G22:G25" si="4">AVERAGE(C14:L14)</f>
        <v>5.82</v>
      </c>
      <c r="H22" s="2">
        <f t="shared" ref="H22:H25" si="5">ROUND(_xlfn.STDEV.S(C14:L14),2)</f>
        <v>0.7</v>
      </c>
    </row>
    <row r="23" spans="1:13">
      <c r="B23" s="3">
        <v>0.2</v>
      </c>
      <c r="C23" s="2">
        <f>AVERAGE(C3:L3)</f>
        <v>1.93</v>
      </c>
      <c r="D23" s="2">
        <f>ROUND(_xlfn.STDEV.S(C3:L3),2)</f>
        <v>0.19</v>
      </c>
      <c r="E23" s="2">
        <f t="shared" si="2"/>
        <v>3.85</v>
      </c>
      <c r="F23" s="2">
        <f t="shared" si="3"/>
        <v>0.52</v>
      </c>
      <c r="G23" s="2">
        <f t="shared" si="4"/>
        <v>4.2300000000000004</v>
      </c>
      <c r="H23" s="2">
        <f t="shared" si="5"/>
        <v>0.5</v>
      </c>
    </row>
    <row r="24" spans="1:13">
      <c r="B24" s="3">
        <v>0.3</v>
      </c>
      <c r="C24" s="2">
        <f>AVERAGE(C4:L4)</f>
        <v>2.02</v>
      </c>
      <c r="D24" s="2">
        <f>ROUND(_xlfn.STDEV.S(C4:L4),2)</f>
        <v>0.26</v>
      </c>
      <c r="E24" s="2">
        <f t="shared" si="2"/>
        <v>5.99</v>
      </c>
      <c r="F24" s="2">
        <f t="shared" si="3"/>
        <v>0.42</v>
      </c>
      <c r="G24" s="2">
        <f t="shared" si="4"/>
        <v>7.29</v>
      </c>
      <c r="H24" s="2">
        <f t="shared" si="5"/>
        <v>0.67</v>
      </c>
    </row>
    <row r="25" spans="1:13">
      <c r="B25" s="3">
        <v>0.5</v>
      </c>
      <c r="C25" s="2">
        <f>AVERAGE(C5:L5)</f>
        <v>2.34</v>
      </c>
      <c r="D25" s="2">
        <f>ROUND(_xlfn.STDEV.S(C5:L5),2)</f>
        <v>0.73</v>
      </c>
      <c r="E25" s="2">
        <f t="shared" si="2"/>
        <v>6.13</v>
      </c>
      <c r="F25" s="2">
        <f t="shared" si="3"/>
        <v>1.2</v>
      </c>
      <c r="G25" s="2">
        <f t="shared" si="4"/>
        <v>6.5</v>
      </c>
      <c r="H25" s="2">
        <f t="shared" si="5"/>
        <v>0.91</v>
      </c>
    </row>
    <row r="26" spans="1:13">
      <c r="B26" s="8" t="s">
        <v>0</v>
      </c>
      <c r="C26" s="8">
        <f>'Control Onion'!E10</f>
        <v>2.08</v>
      </c>
      <c r="D26" s="8">
        <f>'Control Onion'!F10</f>
        <v>0.37</v>
      </c>
      <c r="E26" s="8">
        <f>'Control Onion'!G10</f>
        <v>4.1300000000000008</v>
      </c>
      <c r="F26" s="8">
        <f>'Control Onion'!H10</f>
        <v>0.56999999999999995</v>
      </c>
      <c r="G26" s="8">
        <f>'Control Onion'!I10</f>
        <v>5.61</v>
      </c>
      <c r="H26" s="8">
        <f>'Control Onion'!J10</f>
        <v>0.48</v>
      </c>
    </row>
  </sheetData>
  <mergeCells count="7">
    <mergeCell ref="C20:D20"/>
    <mergeCell ref="E20:F20"/>
    <mergeCell ref="G20:H20"/>
    <mergeCell ref="A1:A5"/>
    <mergeCell ref="A7:A11"/>
    <mergeCell ref="A13:A17"/>
    <mergeCell ref="B20:B2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6"/>
  <sheetViews>
    <sheetView topLeftCell="A7" zoomScale="86" zoomScaleNormal="86" workbookViewId="0">
      <selection activeCell="C26" sqref="C26"/>
    </sheetView>
  </sheetViews>
  <sheetFormatPr defaultColWidth="9" defaultRowHeight="14.45"/>
  <cols>
    <col min="2" max="2" width="13.125" customWidth="1"/>
    <col min="3" max="39" width="9.625" customWidth="1"/>
  </cols>
  <sheetData>
    <row r="1" spans="1:37" ht="15" customHeight="1">
      <c r="A1" s="48" t="s">
        <v>11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16</v>
      </c>
    </row>
    <row r="2" spans="1:37" ht="15" customHeight="1">
      <c r="A2" s="48"/>
      <c r="B2" s="3">
        <v>0.1</v>
      </c>
      <c r="C2" s="4">
        <v>1.8</v>
      </c>
      <c r="D2" s="4">
        <v>1.8</v>
      </c>
      <c r="E2" s="4">
        <v>1.8</v>
      </c>
      <c r="F2" s="4">
        <v>1.7</v>
      </c>
      <c r="G2" s="4">
        <v>2.4</v>
      </c>
      <c r="H2" s="4">
        <v>1.8</v>
      </c>
      <c r="I2" s="4">
        <v>1.6</v>
      </c>
      <c r="J2" s="4">
        <v>1.5</v>
      </c>
      <c r="K2" s="4">
        <v>1.2</v>
      </c>
      <c r="L2" s="4">
        <v>1.5</v>
      </c>
      <c r="M2" s="4">
        <f>AVERAGE(C2:L2)</f>
        <v>1.71</v>
      </c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</row>
    <row r="3" spans="1:37" ht="15" customHeight="1">
      <c r="A3" s="48"/>
      <c r="B3" s="3">
        <v>0.2</v>
      </c>
      <c r="C3" s="4">
        <v>3.6</v>
      </c>
      <c r="D3" s="4">
        <v>2.8</v>
      </c>
      <c r="E3" s="4">
        <v>2.4</v>
      </c>
      <c r="F3" s="4">
        <v>1.8</v>
      </c>
      <c r="G3" s="4">
        <v>2.2999999999999998</v>
      </c>
      <c r="H3" s="4">
        <v>1.6</v>
      </c>
      <c r="I3" s="4">
        <v>1.5</v>
      </c>
      <c r="J3" s="4">
        <v>1.4</v>
      </c>
      <c r="K3" s="4">
        <v>1.2</v>
      </c>
      <c r="L3" s="4">
        <v>1.3</v>
      </c>
      <c r="M3" s="4">
        <f t="shared" ref="M3:M11" si="0">AVERAGE(C3:L3)</f>
        <v>1.99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ht="15" customHeight="1">
      <c r="A4" s="48"/>
      <c r="B4" s="3">
        <v>0.3</v>
      </c>
      <c r="C4" s="4">
        <v>2.4</v>
      </c>
      <c r="D4" s="4">
        <v>1.8</v>
      </c>
      <c r="E4" s="4">
        <v>2.2000000000000002</v>
      </c>
      <c r="F4" s="4">
        <v>2</v>
      </c>
      <c r="G4" s="4">
        <v>2</v>
      </c>
      <c r="H4" s="4">
        <v>1.7</v>
      </c>
      <c r="I4" s="4">
        <v>1.8</v>
      </c>
      <c r="J4" s="4">
        <v>1.7</v>
      </c>
      <c r="K4" s="4">
        <v>1.7</v>
      </c>
      <c r="L4" s="4">
        <v>1.9</v>
      </c>
      <c r="M4" s="4">
        <f t="shared" si="0"/>
        <v>1.92</v>
      </c>
    </row>
    <row r="5" spans="1:37" ht="15" customHeight="1">
      <c r="A5" s="48"/>
      <c r="B5" s="3">
        <v>0.5</v>
      </c>
      <c r="C5" s="4">
        <v>2</v>
      </c>
      <c r="D5" s="4">
        <v>2.1</v>
      </c>
      <c r="E5" s="4">
        <v>2.1</v>
      </c>
      <c r="F5" s="4">
        <v>2.5</v>
      </c>
      <c r="G5" s="4">
        <v>2.1</v>
      </c>
      <c r="H5" s="4">
        <v>1.9</v>
      </c>
      <c r="I5" s="4">
        <v>2.4</v>
      </c>
      <c r="J5" s="4">
        <v>1.7</v>
      </c>
      <c r="K5" s="4">
        <v>1.6</v>
      </c>
      <c r="L5" s="4">
        <v>1.7</v>
      </c>
      <c r="M5" s="4">
        <f t="shared" si="0"/>
        <v>2.0099999999999998</v>
      </c>
    </row>
    <row r="7" spans="1:37">
      <c r="A7" s="48" t="s">
        <v>13</v>
      </c>
      <c r="B7" s="1" t="s">
        <v>18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16</v>
      </c>
    </row>
    <row r="8" spans="1:37">
      <c r="A8" s="48"/>
      <c r="B8" s="3">
        <v>0.1</v>
      </c>
      <c r="C8" s="4">
        <v>5.9</v>
      </c>
      <c r="D8" s="4">
        <v>5.8</v>
      </c>
      <c r="E8" s="4">
        <v>4.3</v>
      </c>
      <c r="F8" s="4">
        <v>5</v>
      </c>
      <c r="G8" s="4">
        <v>4.4000000000000004</v>
      </c>
      <c r="H8" s="4">
        <v>5.3</v>
      </c>
      <c r="I8" s="4">
        <v>3.3</v>
      </c>
      <c r="J8" s="4">
        <v>4.7</v>
      </c>
      <c r="K8" s="4">
        <v>5.7</v>
      </c>
      <c r="L8" s="4">
        <v>3.9</v>
      </c>
      <c r="M8" s="4">
        <f t="shared" si="0"/>
        <v>4.83</v>
      </c>
    </row>
    <row r="9" spans="1:37">
      <c r="A9" s="48"/>
      <c r="B9" s="3">
        <v>0.2</v>
      </c>
      <c r="C9" s="4">
        <v>5.0999999999999996</v>
      </c>
      <c r="D9" s="4">
        <v>4.5</v>
      </c>
      <c r="E9" s="4">
        <v>5.5</v>
      </c>
      <c r="F9" s="4">
        <v>4.5</v>
      </c>
      <c r="G9" s="4">
        <v>4.4000000000000004</v>
      </c>
      <c r="H9" s="4">
        <v>4</v>
      </c>
      <c r="I9" s="4">
        <v>3.6</v>
      </c>
      <c r="J9" s="4">
        <v>4.0999999999999996</v>
      </c>
      <c r="K9" s="4">
        <v>3.8</v>
      </c>
      <c r="L9" s="4">
        <v>4.5999999999999996</v>
      </c>
      <c r="M9" s="4">
        <f t="shared" si="0"/>
        <v>4.41</v>
      </c>
    </row>
    <row r="10" spans="1:37">
      <c r="A10" s="48"/>
      <c r="B10" s="3">
        <v>0.3</v>
      </c>
      <c r="C10" s="4">
        <v>5.6</v>
      </c>
      <c r="D10" s="4">
        <v>4.5999999999999996</v>
      </c>
      <c r="E10" s="4">
        <v>5.0999999999999996</v>
      </c>
      <c r="F10" s="4">
        <v>5.9</v>
      </c>
      <c r="G10" s="4">
        <v>5</v>
      </c>
      <c r="H10" s="4">
        <v>5</v>
      </c>
      <c r="I10" s="4">
        <v>4.9000000000000004</v>
      </c>
      <c r="J10" s="4">
        <v>5</v>
      </c>
      <c r="K10" s="4">
        <v>5.9</v>
      </c>
      <c r="L10" s="4">
        <v>5</v>
      </c>
      <c r="M10" s="4">
        <f t="shared" si="0"/>
        <v>5.2</v>
      </c>
    </row>
    <row r="11" spans="1:37">
      <c r="A11" s="48"/>
      <c r="B11" s="3">
        <v>0.5</v>
      </c>
      <c r="C11" s="4">
        <v>5</v>
      </c>
      <c r="D11" s="4">
        <v>4.9000000000000004</v>
      </c>
      <c r="E11" s="4">
        <v>4.3</v>
      </c>
      <c r="F11" s="4">
        <v>4.2</v>
      </c>
      <c r="G11" s="4">
        <v>4.3</v>
      </c>
      <c r="H11" s="4">
        <v>4.4000000000000004</v>
      </c>
      <c r="I11" s="4">
        <v>4.7</v>
      </c>
      <c r="J11" s="4">
        <v>5.2</v>
      </c>
      <c r="K11" s="4">
        <v>6.2</v>
      </c>
      <c r="L11" s="4">
        <v>4.5999999999999996</v>
      </c>
      <c r="M11" s="4">
        <f t="shared" si="0"/>
        <v>4.78</v>
      </c>
    </row>
    <row r="13" spans="1:37">
      <c r="A13" s="48" t="s">
        <v>14</v>
      </c>
      <c r="B13" s="1" t="s">
        <v>18</v>
      </c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I13" s="1" t="s">
        <v>7</v>
      </c>
      <c r="J13" s="1" t="s">
        <v>8</v>
      </c>
      <c r="K13" s="1" t="s">
        <v>9</v>
      </c>
      <c r="L13" s="1" t="s">
        <v>10</v>
      </c>
      <c r="M13" s="1" t="s">
        <v>16</v>
      </c>
    </row>
    <row r="14" spans="1:37">
      <c r="A14" s="48"/>
      <c r="B14" s="3">
        <v>0.1</v>
      </c>
      <c r="C14" s="4">
        <v>8</v>
      </c>
      <c r="D14" s="4">
        <v>4.3</v>
      </c>
      <c r="E14" s="4">
        <v>4.3</v>
      </c>
      <c r="F14" s="4">
        <v>7.9</v>
      </c>
      <c r="G14" s="4">
        <v>7.6</v>
      </c>
      <c r="H14" s="4">
        <v>6.5</v>
      </c>
      <c r="I14" s="4">
        <v>7.5</v>
      </c>
      <c r="J14" s="4">
        <v>7</v>
      </c>
      <c r="K14" s="4">
        <v>5.4</v>
      </c>
      <c r="L14" s="4">
        <v>5.7</v>
      </c>
      <c r="M14" s="4">
        <f t="shared" ref="M14:M17" si="1">AVERAGE(C14:L14)</f>
        <v>6.42</v>
      </c>
    </row>
    <row r="15" spans="1:37">
      <c r="A15" s="48"/>
      <c r="B15" s="3">
        <v>0.2</v>
      </c>
      <c r="C15" s="4">
        <v>4</v>
      </c>
      <c r="D15" s="4">
        <v>3.5</v>
      </c>
      <c r="E15" s="4">
        <v>3.3</v>
      </c>
      <c r="F15" s="4">
        <v>4.5</v>
      </c>
      <c r="G15" s="4">
        <v>4</v>
      </c>
      <c r="H15" s="4">
        <v>3.4</v>
      </c>
      <c r="I15" s="4">
        <v>6.1</v>
      </c>
      <c r="J15" s="4">
        <v>5.0999999999999996</v>
      </c>
      <c r="K15" s="4">
        <v>5.4</v>
      </c>
      <c r="L15" s="4">
        <v>4.9000000000000004</v>
      </c>
      <c r="M15" s="4">
        <f t="shared" si="1"/>
        <v>4.42</v>
      </c>
    </row>
    <row r="16" spans="1:37">
      <c r="A16" s="48"/>
      <c r="B16" s="3">
        <v>0.3</v>
      </c>
      <c r="C16" s="4">
        <v>6.8</v>
      </c>
      <c r="D16" s="4">
        <v>8</v>
      </c>
      <c r="E16" s="4">
        <v>7.2</v>
      </c>
      <c r="F16" s="4">
        <v>6.8</v>
      </c>
      <c r="G16" s="4">
        <v>7.7</v>
      </c>
      <c r="H16" s="4">
        <v>6.6</v>
      </c>
      <c r="I16" s="4">
        <v>6.6</v>
      </c>
      <c r="J16" s="4">
        <v>7.3</v>
      </c>
      <c r="K16" s="4">
        <v>7.8</v>
      </c>
      <c r="L16" s="4">
        <v>7.8</v>
      </c>
      <c r="M16" s="4">
        <f t="shared" si="1"/>
        <v>7.26</v>
      </c>
    </row>
    <row r="17" spans="1:13">
      <c r="A17" s="48"/>
      <c r="B17" s="3">
        <v>0.5</v>
      </c>
      <c r="C17" s="4">
        <v>6.8</v>
      </c>
      <c r="D17" s="4">
        <v>6.1</v>
      </c>
      <c r="E17" s="4">
        <v>5.7</v>
      </c>
      <c r="F17" s="4">
        <v>6.5</v>
      </c>
      <c r="G17" s="4">
        <v>5.8</v>
      </c>
      <c r="H17" s="4">
        <v>8.3000000000000007</v>
      </c>
      <c r="I17" s="4">
        <v>6.5</v>
      </c>
      <c r="J17" s="4">
        <v>8.8000000000000007</v>
      </c>
      <c r="K17" s="4">
        <v>7.8</v>
      </c>
      <c r="L17" s="4">
        <v>7</v>
      </c>
      <c r="M17" s="4">
        <f t="shared" si="1"/>
        <v>6.93</v>
      </c>
    </row>
    <row r="18" spans="1:13" ht="5.45" customHeight="1"/>
    <row r="19" spans="1:13" ht="5.45" customHeight="1"/>
    <row r="20" spans="1:13">
      <c r="B20" s="49" t="s">
        <v>15</v>
      </c>
      <c r="C20" s="56" t="s">
        <v>11</v>
      </c>
      <c r="D20" s="56"/>
      <c r="E20" s="46" t="s">
        <v>13</v>
      </c>
      <c r="F20" s="47"/>
      <c r="G20" s="46" t="s">
        <v>14</v>
      </c>
      <c r="H20" s="47"/>
    </row>
    <row r="21" spans="1:13">
      <c r="B21" s="49"/>
      <c r="C21" s="5" t="s">
        <v>16</v>
      </c>
      <c r="D21" s="5" t="s">
        <v>17</v>
      </c>
      <c r="E21" s="5" t="s">
        <v>16</v>
      </c>
      <c r="F21" s="5" t="s">
        <v>17</v>
      </c>
      <c r="G21" s="5" t="s">
        <v>16</v>
      </c>
      <c r="H21" s="5" t="s">
        <v>17</v>
      </c>
    </row>
    <row r="22" spans="1:13">
      <c r="B22" s="3">
        <v>0.1</v>
      </c>
      <c r="C22" s="2">
        <f>AVERAGE(C2:L2)</f>
        <v>1.71</v>
      </c>
      <c r="D22" s="2">
        <f>ROUND(_xlfn.STDEV.S(C2:L2),2)</f>
        <v>0.31</v>
      </c>
      <c r="E22" s="2">
        <f t="shared" ref="E22:E25" si="2">AVERAGE(C8:L8)</f>
        <v>4.83</v>
      </c>
      <c r="F22" s="2">
        <f t="shared" ref="F22:F25" si="3">ROUND(_xlfn.STDEV.S(C8:L8),2)</f>
        <v>0.87</v>
      </c>
      <c r="G22" s="2">
        <f t="shared" ref="G22:G25" si="4">AVERAGE(C14:L14)</f>
        <v>6.42</v>
      </c>
      <c r="H22" s="2">
        <f t="shared" ref="H22:H25" si="5">ROUND(_xlfn.STDEV.S(C14:L14),2)</f>
        <v>1.42</v>
      </c>
    </row>
    <row r="23" spans="1:13">
      <c r="B23" s="3">
        <v>0.2</v>
      </c>
      <c r="C23" s="2">
        <f>AVERAGE(C3:L3)</f>
        <v>1.99</v>
      </c>
      <c r="D23" s="2">
        <f>ROUND(_xlfn.STDEV.S(C3:L3),2)</f>
        <v>0.77</v>
      </c>
      <c r="E23" s="2">
        <f t="shared" si="2"/>
        <v>4.41</v>
      </c>
      <c r="F23" s="2">
        <f t="shared" si="3"/>
        <v>0.57999999999999996</v>
      </c>
      <c r="G23" s="2">
        <f t="shared" si="4"/>
        <v>4.42</v>
      </c>
      <c r="H23" s="2">
        <f t="shared" si="5"/>
        <v>0.94</v>
      </c>
    </row>
    <row r="24" spans="1:13">
      <c r="B24" s="3">
        <v>0.3</v>
      </c>
      <c r="C24" s="2">
        <f>AVERAGE(C4:L4)</f>
        <v>1.92</v>
      </c>
      <c r="D24" s="2">
        <f>ROUND(_xlfn.STDEV.S(C4:L4),2)</f>
        <v>0.23</v>
      </c>
      <c r="E24" s="2">
        <f t="shared" si="2"/>
        <v>5.2</v>
      </c>
      <c r="F24" s="2">
        <f t="shared" si="3"/>
        <v>0.44</v>
      </c>
      <c r="G24" s="2">
        <f t="shared" si="4"/>
        <v>7.26</v>
      </c>
      <c r="H24" s="2">
        <f t="shared" si="5"/>
        <v>0.54</v>
      </c>
    </row>
    <row r="25" spans="1:13">
      <c r="B25" s="3">
        <v>0.5</v>
      </c>
      <c r="C25" s="2">
        <f>AVERAGE(C5:L5)</f>
        <v>2.0099999999999998</v>
      </c>
      <c r="D25" s="2">
        <f>ROUND(_xlfn.STDEV.S(C5:L5),2)</f>
        <v>0.3</v>
      </c>
      <c r="E25" s="2">
        <f t="shared" si="2"/>
        <v>4.78</v>
      </c>
      <c r="F25" s="2">
        <f t="shared" si="3"/>
        <v>0.6</v>
      </c>
      <c r="G25" s="2">
        <f t="shared" si="4"/>
        <v>6.93</v>
      </c>
      <c r="H25" s="2">
        <f t="shared" si="5"/>
        <v>1.05</v>
      </c>
    </row>
    <row r="26" spans="1:13">
      <c r="B26" s="8" t="s">
        <v>0</v>
      </c>
      <c r="C26" s="8">
        <f>'Control Onion'!E10</f>
        <v>2.08</v>
      </c>
      <c r="D26" s="8">
        <f>'Control Onion'!F10</f>
        <v>0.37</v>
      </c>
      <c r="E26" s="8">
        <f>'Control Onion'!G10</f>
        <v>4.1300000000000008</v>
      </c>
      <c r="F26" s="8">
        <f>'Control Onion'!H10</f>
        <v>0.56999999999999995</v>
      </c>
      <c r="G26" s="8">
        <f>'Control Onion'!I10</f>
        <v>5.61</v>
      </c>
      <c r="H26" s="8">
        <f>'Control Onion'!J10</f>
        <v>0.48</v>
      </c>
    </row>
  </sheetData>
  <mergeCells count="7">
    <mergeCell ref="C20:D20"/>
    <mergeCell ref="E20:F20"/>
    <mergeCell ref="G20:H20"/>
    <mergeCell ref="A1:A5"/>
    <mergeCell ref="A7:A11"/>
    <mergeCell ref="A13:A17"/>
    <mergeCell ref="B20:B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6"/>
  <sheetViews>
    <sheetView zoomScale="99" zoomScaleNormal="99" workbookViewId="0">
      <selection activeCell="H1" sqref="H1:H1048576"/>
    </sheetView>
  </sheetViews>
  <sheetFormatPr defaultColWidth="9" defaultRowHeight="13.5" customHeight="1"/>
  <cols>
    <col min="2" max="2" width="13.125" customWidth="1"/>
    <col min="3" max="3" width="9.625" customWidth="1"/>
    <col min="4" max="4" width="14.75" customWidth="1"/>
    <col min="5" max="33" width="9.625" customWidth="1"/>
  </cols>
  <sheetData>
    <row r="1" spans="1:17" ht="15" customHeight="1">
      <c r="A1" s="12"/>
      <c r="B1" s="13" t="s">
        <v>0</v>
      </c>
      <c r="C1" s="13" t="s">
        <v>19</v>
      </c>
      <c r="D1" s="13" t="s">
        <v>20</v>
      </c>
      <c r="E1" s="13" t="s">
        <v>21</v>
      </c>
      <c r="F1" s="13" t="s">
        <v>22</v>
      </c>
      <c r="G1" s="15" t="s">
        <v>23</v>
      </c>
      <c r="H1" s="26"/>
      <c r="I1" s="26"/>
      <c r="J1" s="26"/>
      <c r="K1" s="26"/>
      <c r="L1" s="26"/>
      <c r="M1" s="26"/>
      <c r="N1" s="26"/>
      <c r="O1" s="26"/>
      <c r="P1" s="26"/>
      <c r="Q1" s="21"/>
    </row>
    <row r="2" spans="1:17" s="11" customFormat="1" ht="15" customHeight="1">
      <c r="A2" s="12" t="s">
        <v>14</v>
      </c>
      <c r="B2" s="16" t="s">
        <v>12</v>
      </c>
      <c r="C2" s="8">
        <v>16.5</v>
      </c>
      <c r="D2" s="8">
        <v>18.7</v>
      </c>
      <c r="E2" s="17">
        <v>17.5</v>
      </c>
      <c r="F2" s="27">
        <v>14</v>
      </c>
      <c r="G2" s="27">
        <v>17.899999999999999</v>
      </c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1:17" ht="15" customHeight="1"/>
    <row r="4" spans="1:17" ht="15" customHeight="1"/>
    <row r="6" spans="1:17">
      <c r="D6" s="49" t="s">
        <v>15</v>
      </c>
      <c r="E6" s="56" t="s">
        <v>14</v>
      </c>
      <c r="F6" s="56"/>
    </row>
    <row r="7" spans="1:17" ht="28.5" customHeight="1">
      <c r="D7" s="49"/>
      <c r="E7" s="5" t="s">
        <v>16</v>
      </c>
      <c r="F7" s="5" t="s">
        <v>17</v>
      </c>
    </row>
    <row r="8" spans="1:17" ht="27" customHeight="1">
      <c r="D8" s="4" t="s">
        <v>0</v>
      </c>
      <c r="E8" s="2">
        <f>AVERAGE(C2:G2)</f>
        <v>16.919999999999998</v>
      </c>
      <c r="F8" s="2">
        <f>ROUND(_xlfn.STDEV.S(C2:G2),2)</f>
        <v>1.81</v>
      </c>
    </row>
    <row r="13" spans="1:17">
      <c r="A13" s="11"/>
      <c r="B13" s="18"/>
      <c r="C13" s="18"/>
      <c r="D13" s="18"/>
      <c r="E13" s="18"/>
      <c r="F13" s="18"/>
      <c r="G13" s="18"/>
    </row>
    <row r="14" spans="1:17">
      <c r="A14" s="11"/>
      <c r="B14" s="19"/>
      <c r="C14" s="20"/>
      <c r="D14" s="20"/>
      <c r="E14" s="20"/>
      <c r="F14" s="20"/>
      <c r="G14" s="20"/>
    </row>
    <row r="15" spans="1:17">
      <c r="A15" s="11"/>
      <c r="B15" s="19"/>
      <c r="C15" s="20"/>
      <c r="D15" s="20"/>
      <c r="E15" s="20"/>
      <c r="F15" s="20"/>
      <c r="G15" s="20"/>
    </row>
    <row r="16" spans="1:17">
      <c r="A16" s="11"/>
      <c r="B16" s="11"/>
      <c r="C16" s="10"/>
      <c r="D16" s="10"/>
      <c r="E16" s="10"/>
      <c r="F16" s="10"/>
      <c r="G16" s="10"/>
    </row>
  </sheetData>
  <mergeCells count="2">
    <mergeCell ref="E6:F6"/>
    <mergeCell ref="D6:D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G16"/>
  <sheetViews>
    <sheetView zoomScale="87" zoomScaleNormal="87" workbookViewId="0">
      <selection activeCell="J18" sqref="J18"/>
    </sheetView>
  </sheetViews>
  <sheetFormatPr defaultColWidth="9" defaultRowHeight="14.45"/>
  <cols>
    <col min="2" max="2" width="13.125" customWidth="1"/>
    <col min="3" max="38" width="9.625" customWidth="1"/>
  </cols>
  <sheetData>
    <row r="2" spans="1:7" ht="16.5">
      <c r="A2" s="48" t="s">
        <v>14</v>
      </c>
      <c r="B2" s="1" t="s">
        <v>18</v>
      </c>
      <c r="C2" s="1" t="s">
        <v>24</v>
      </c>
      <c r="D2" s="1" t="s">
        <v>25</v>
      </c>
      <c r="E2" s="1" t="s">
        <v>26</v>
      </c>
      <c r="F2" s="1" t="s">
        <v>27</v>
      </c>
      <c r="G2" s="1" t="s">
        <v>28</v>
      </c>
    </row>
    <row r="3" spans="1:7" ht="13.5">
      <c r="A3" s="48"/>
      <c r="B3" s="3">
        <v>0.1</v>
      </c>
      <c r="C3" s="4">
        <v>18.5</v>
      </c>
      <c r="D3" s="4">
        <v>21.5</v>
      </c>
      <c r="E3" s="4">
        <v>19.5</v>
      </c>
      <c r="F3" s="4">
        <v>18.5</v>
      </c>
      <c r="G3" s="4">
        <v>23.5</v>
      </c>
    </row>
    <row r="4" spans="1:7" ht="13.5">
      <c r="A4" s="48"/>
      <c r="B4" s="3">
        <v>0.2</v>
      </c>
      <c r="C4" s="4">
        <v>19.5</v>
      </c>
      <c r="D4" s="4">
        <v>22</v>
      </c>
      <c r="E4" s="4">
        <v>23.3</v>
      </c>
      <c r="F4" s="4">
        <v>16.899999999999999</v>
      </c>
      <c r="G4" s="4">
        <v>17.5</v>
      </c>
    </row>
    <row r="5" spans="1:7" ht="13.5">
      <c r="A5" s="48"/>
      <c r="B5" s="3">
        <v>0.3</v>
      </c>
      <c r="C5" s="4">
        <v>13</v>
      </c>
      <c r="D5" s="4">
        <v>14.5</v>
      </c>
      <c r="E5" s="4">
        <v>15</v>
      </c>
      <c r="F5" s="4">
        <v>17.5</v>
      </c>
      <c r="G5" s="4">
        <v>14.5</v>
      </c>
    </row>
    <row r="6" spans="1:7" ht="13.5">
      <c r="A6" s="48"/>
      <c r="B6" s="3">
        <v>0.5</v>
      </c>
      <c r="C6" s="4">
        <v>12.3</v>
      </c>
      <c r="D6" s="4">
        <v>10.5</v>
      </c>
      <c r="E6" s="4">
        <v>11.7</v>
      </c>
      <c r="F6" s="4">
        <v>15.5</v>
      </c>
      <c r="G6" s="4">
        <v>12</v>
      </c>
    </row>
    <row r="10" spans="1:7" ht="13.5">
      <c r="B10" s="49" t="s">
        <v>15</v>
      </c>
      <c r="C10" s="56" t="s">
        <v>14</v>
      </c>
      <c r="D10" s="56"/>
      <c r="E10" s="21"/>
      <c r="F10" s="21"/>
      <c r="G10" s="21"/>
    </row>
    <row r="11" spans="1:7" ht="13.5">
      <c r="B11" s="49"/>
      <c r="C11" s="5" t="s">
        <v>16</v>
      </c>
      <c r="D11" s="5" t="s">
        <v>17</v>
      </c>
      <c r="E11" s="6"/>
      <c r="F11" s="6"/>
      <c r="G11" s="6"/>
    </row>
    <row r="12" spans="1:7" ht="13.5">
      <c r="B12" s="3">
        <v>0.1</v>
      </c>
      <c r="C12" s="25">
        <f>AVERAGE(C3:G3)</f>
        <v>20.3</v>
      </c>
      <c r="D12" s="2">
        <f t="shared" ref="D12:D15" si="0">ROUND(_xlfn.STDEV.S(C3:G3),2)</f>
        <v>2.17</v>
      </c>
      <c r="E12" s="24"/>
      <c r="F12" s="24"/>
      <c r="G12" s="24"/>
    </row>
    <row r="13" spans="1:7" ht="13.5">
      <c r="B13" s="3">
        <v>0.2</v>
      </c>
      <c r="C13" s="25">
        <f>AVERAGE(C4:G4)</f>
        <v>19.839999999999996</v>
      </c>
      <c r="D13" s="2">
        <f t="shared" si="0"/>
        <v>2.78</v>
      </c>
      <c r="E13" s="24"/>
      <c r="F13" s="24"/>
      <c r="G13" s="24"/>
    </row>
    <row r="14" spans="1:7" ht="13.5">
      <c r="B14" s="3">
        <v>0.3</v>
      </c>
      <c r="C14" s="25">
        <f>AVERAGE(C5:G5)</f>
        <v>14.9</v>
      </c>
      <c r="D14" s="2">
        <f t="shared" si="0"/>
        <v>1.64</v>
      </c>
      <c r="E14" s="24"/>
      <c r="F14" s="24"/>
      <c r="G14" s="24"/>
    </row>
    <row r="15" spans="1:7" ht="13.5">
      <c r="B15" s="3">
        <v>0.5</v>
      </c>
      <c r="C15" s="25">
        <f>AVERAGE(C6:G6)</f>
        <v>12.4</v>
      </c>
      <c r="D15" s="2">
        <f t="shared" si="0"/>
        <v>1.86</v>
      </c>
      <c r="E15" s="24"/>
      <c r="F15" s="24"/>
      <c r="G15" s="24"/>
    </row>
    <row r="16" spans="1:7" ht="13.5">
      <c r="B16" s="8" t="s">
        <v>0</v>
      </c>
      <c r="C16" s="23">
        <f>'Control Pea Shoot'!E8</f>
        <v>16.919999999999998</v>
      </c>
      <c r="D16" s="2">
        <f>'Control Pea Shoot'!F8</f>
        <v>1.81</v>
      </c>
      <c r="E16" s="24"/>
      <c r="F16" s="24"/>
      <c r="G16" s="24"/>
    </row>
  </sheetData>
  <mergeCells count="3">
    <mergeCell ref="C10:D10"/>
    <mergeCell ref="A2:A6"/>
    <mergeCell ref="B10:B11"/>
  </mergeCells>
  <pageMargins left="0.7" right="0.7" top="0.75" bottom="0.75" header="0.3" footer="0.3"/>
  <ignoredErrors>
    <ignoredError sqref="D12:D13" formulaRange="1"/>
  </ignoredError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G16"/>
  <sheetViews>
    <sheetView zoomScale="78" zoomScaleNormal="78" workbookViewId="0">
      <selection activeCell="H1" sqref="H1:H1048576"/>
    </sheetView>
  </sheetViews>
  <sheetFormatPr defaultColWidth="9" defaultRowHeight="13.5"/>
  <cols>
    <col min="2" max="2" width="13.125" customWidth="1"/>
    <col min="3" max="38" width="9.625" customWidth="1"/>
  </cols>
  <sheetData>
    <row r="2" spans="1:7" ht="16.5">
      <c r="A2" s="48" t="s">
        <v>14</v>
      </c>
      <c r="B2" s="1" t="s">
        <v>18</v>
      </c>
      <c r="C2" s="1" t="s">
        <v>24</v>
      </c>
      <c r="D2" s="1" t="s">
        <v>25</v>
      </c>
      <c r="E2" s="1" t="s">
        <v>26</v>
      </c>
      <c r="F2" s="1" t="s">
        <v>27</v>
      </c>
      <c r="G2" s="1" t="s">
        <v>28</v>
      </c>
    </row>
    <row r="3" spans="1:7">
      <c r="A3" s="48"/>
      <c r="B3" s="3">
        <v>0.1</v>
      </c>
      <c r="C3" s="4">
        <v>20.5</v>
      </c>
      <c r="D3" s="4">
        <v>19</v>
      </c>
      <c r="E3" s="4">
        <v>19.5</v>
      </c>
      <c r="F3" s="4">
        <v>21</v>
      </c>
      <c r="G3" s="4">
        <v>19.5</v>
      </c>
    </row>
    <row r="4" spans="1:7">
      <c r="A4" s="48"/>
      <c r="B4" s="3">
        <v>0.2</v>
      </c>
      <c r="C4" s="4">
        <v>20</v>
      </c>
      <c r="D4" s="4">
        <v>21</v>
      </c>
      <c r="E4" s="4">
        <v>21</v>
      </c>
      <c r="F4" s="4">
        <v>21.5</v>
      </c>
      <c r="G4" s="4">
        <v>20.5</v>
      </c>
    </row>
    <row r="5" spans="1:7">
      <c r="A5" s="48"/>
      <c r="B5" s="3">
        <v>0.3</v>
      </c>
      <c r="C5" s="4">
        <v>14.5</v>
      </c>
      <c r="D5" s="4">
        <v>13.4</v>
      </c>
      <c r="E5" s="4">
        <v>17</v>
      </c>
      <c r="F5" s="4">
        <v>14</v>
      </c>
      <c r="G5" s="4">
        <v>12.5</v>
      </c>
    </row>
    <row r="6" spans="1:7">
      <c r="A6" s="48"/>
      <c r="B6" s="3">
        <v>0.5</v>
      </c>
      <c r="C6" s="4">
        <v>17.100000000000001</v>
      </c>
      <c r="D6" s="4">
        <v>9</v>
      </c>
      <c r="E6" s="4">
        <v>11.8</v>
      </c>
      <c r="F6" s="4">
        <v>11.8</v>
      </c>
      <c r="G6" s="4">
        <v>7.5</v>
      </c>
    </row>
    <row r="10" spans="1:7" ht="14.45" customHeight="1">
      <c r="B10" s="58" t="s">
        <v>15</v>
      </c>
      <c r="C10" s="56" t="s">
        <v>14</v>
      </c>
      <c r="D10" s="56"/>
      <c r="E10" s="57"/>
      <c r="F10" s="57"/>
      <c r="G10" s="21"/>
    </row>
    <row r="11" spans="1:7">
      <c r="B11" s="58"/>
      <c r="C11" s="5" t="s">
        <v>16</v>
      </c>
      <c r="D11" s="5" t="s">
        <v>17</v>
      </c>
      <c r="E11" s="6"/>
      <c r="F11" s="6"/>
      <c r="G11" s="6"/>
    </row>
    <row r="12" spans="1:7">
      <c r="B12" s="22">
        <v>0.1</v>
      </c>
      <c r="C12" s="2">
        <f>ROUND(AVERAGE(C3:G3),2)</f>
        <v>19.899999999999999</v>
      </c>
      <c r="D12" s="2">
        <f>ROUND(_xlfn.STDEV.S(C3:G3),2)</f>
        <v>0.82</v>
      </c>
      <c r="E12" s="24"/>
      <c r="F12" s="24"/>
      <c r="G12" s="24"/>
    </row>
    <row r="13" spans="1:7">
      <c r="B13" s="22">
        <v>0.2</v>
      </c>
      <c r="C13" s="2">
        <f>ROUND(AVERAGE(C4:G4),2)</f>
        <v>20.8</v>
      </c>
      <c r="D13" s="2">
        <f>ROUND(_xlfn.STDEV.S(C4:G4),2)</f>
        <v>0.56999999999999995</v>
      </c>
      <c r="E13" s="24"/>
      <c r="F13" s="24"/>
      <c r="G13" s="24"/>
    </row>
    <row r="14" spans="1:7">
      <c r="B14" s="22">
        <v>0.3</v>
      </c>
      <c r="C14" s="2">
        <f>ROUND(AVERAGE(C5:G5),2)</f>
        <v>14.28</v>
      </c>
      <c r="D14" s="2">
        <f>ROUND(_xlfn.STDEV.S(C5:G5),2)</f>
        <v>1.69</v>
      </c>
      <c r="E14" s="24"/>
      <c r="F14" s="24"/>
      <c r="G14" s="24"/>
    </row>
    <row r="15" spans="1:7">
      <c r="B15" s="22">
        <v>0.5</v>
      </c>
      <c r="C15" s="2">
        <f>ROUND(AVERAGE(C6:G6),2)</f>
        <v>11.44</v>
      </c>
      <c r="D15" s="2">
        <f>ROUND(_xlfn.STDEV.S(C6:G6),2)</f>
        <v>3.67</v>
      </c>
      <c r="E15" s="24"/>
      <c r="F15" s="24"/>
      <c r="G15" s="24"/>
    </row>
    <row r="16" spans="1:7">
      <c r="B16" s="23" t="s">
        <v>0</v>
      </c>
      <c r="C16" s="2">
        <f>'Control Pea Shoot'!E8</f>
        <v>16.919999999999998</v>
      </c>
      <c r="D16" s="2">
        <f>'Control Pea Shoot'!F8</f>
        <v>1.81</v>
      </c>
      <c r="E16" s="24"/>
      <c r="F16" s="24"/>
      <c r="G16" s="24"/>
    </row>
  </sheetData>
  <mergeCells count="4">
    <mergeCell ref="C10:D10"/>
    <mergeCell ref="E10:F10"/>
    <mergeCell ref="A2:A6"/>
    <mergeCell ref="B10:B1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G16"/>
  <sheetViews>
    <sheetView zoomScale="87" zoomScaleNormal="87" workbookViewId="0">
      <selection activeCell="H1" sqref="H1:H1048576"/>
    </sheetView>
  </sheetViews>
  <sheetFormatPr defaultColWidth="9" defaultRowHeight="13.5"/>
  <cols>
    <col min="2" max="2" width="13.125" customWidth="1"/>
    <col min="3" max="38" width="9.625" customWidth="1"/>
  </cols>
  <sheetData>
    <row r="2" spans="1:7" ht="16.5">
      <c r="A2" s="48" t="s">
        <v>14</v>
      </c>
      <c r="B2" s="1" t="s">
        <v>18</v>
      </c>
      <c r="C2" s="1" t="s">
        <v>24</v>
      </c>
      <c r="D2" s="1" t="s">
        <v>25</v>
      </c>
      <c r="E2" s="1" t="s">
        <v>26</v>
      </c>
      <c r="F2" s="1" t="s">
        <v>27</v>
      </c>
      <c r="G2" s="1" t="s">
        <v>28</v>
      </c>
    </row>
    <row r="3" spans="1:7">
      <c r="A3" s="48"/>
      <c r="B3" s="3">
        <v>0.1</v>
      </c>
      <c r="C3" s="4">
        <v>20.5</v>
      </c>
      <c r="D3" s="4">
        <v>21.5</v>
      </c>
      <c r="E3" s="4">
        <v>21.8</v>
      </c>
      <c r="F3" s="4">
        <v>21.6</v>
      </c>
      <c r="G3" s="4">
        <v>21.2</v>
      </c>
    </row>
    <row r="4" spans="1:7">
      <c r="A4" s="48"/>
      <c r="B4" s="3">
        <v>0.2</v>
      </c>
      <c r="C4" s="4">
        <v>20.5</v>
      </c>
      <c r="D4" s="4">
        <v>18.399999999999999</v>
      </c>
      <c r="E4" s="4">
        <v>21</v>
      </c>
      <c r="F4" s="4">
        <v>16.5</v>
      </c>
      <c r="G4" s="4">
        <v>17.7</v>
      </c>
    </row>
    <row r="5" spans="1:7">
      <c r="A5" s="48"/>
      <c r="B5" s="3">
        <v>0.3</v>
      </c>
      <c r="C5" s="4">
        <v>15.2</v>
      </c>
      <c r="D5" s="4">
        <v>14.5</v>
      </c>
      <c r="E5" s="4">
        <v>11.1</v>
      </c>
      <c r="F5" s="4">
        <v>13</v>
      </c>
      <c r="G5" s="4">
        <v>11</v>
      </c>
    </row>
    <row r="6" spans="1:7">
      <c r="A6" s="48"/>
      <c r="B6" s="3">
        <v>0.5</v>
      </c>
      <c r="C6" s="4">
        <v>11.5</v>
      </c>
      <c r="D6" s="4">
        <v>4</v>
      </c>
      <c r="E6" s="4">
        <v>7.5</v>
      </c>
      <c r="F6" s="4">
        <v>8.6999999999999993</v>
      </c>
      <c r="G6" s="4">
        <v>6</v>
      </c>
    </row>
    <row r="10" spans="1:7" ht="14.45" customHeight="1">
      <c r="B10" s="58" t="s">
        <v>15</v>
      </c>
      <c r="C10" s="56" t="s">
        <v>14</v>
      </c>
      <c r="D10" s="56"/>
      <c r="E10" s="57"/>
      <c r="F10" s="57"/>
      <c r="G10" s="21"/>
    </row>
    <row r="11" spans="1:7">
      <c r="B11" s="58"/>
      <c r="C11" s="5" t="s">
        <v>16</v>
      </c>
      <c r="D11" s="5" t="s">
        <v>17</v>
      </c>
      <c r="E11" s="6"/>
      <c r="F11" s="6"/>
      <c r="G11" s="6"/>
    </row>
    <row r="12" spans="1:7">
      <c r="B12" s="22">
        <v>0.1</v>
      </c>
      <c r="C12" s="2">
        <f>ROUND(AVERAGE(C3:G3),2)</f>
        <v>21.32</v>
      </c>
      <c r="D12" s="2">
        <f>ROUND(_xlfn.STDEV.S(C3:G3),2)</f>
        <v>0.51</v>
      </c>
      <c r="E12" s="24"/>
      <c r="F12" s="24"/>
      <c r="G12" s="24"/>
    </row>
    <row r="13" spans="1:7">
      <c r="B13" s="22">
        <v>0.2</v>
      </c>
      <c r="C13" s="2">
        <f>ROUND(AVERAGE(C4:G4),2)</f>
        <v>18.82</v>
      </c>
      <c r="D13" s="2">
        <f>ROUND(_xlfn.STDEV.S(C4:G4),2)</f>
        <v>1.9</v>
      </c>
      <c r="E13" s="24"/>
      <c r="F13" s="24"/>
      <c r="G13" s="24"/>
    </row>
    <row r="14" spans="1:7">
      <c r="B14" s="22">
        <v>0.3</v>
      </c>
      <c r="C14" s="2">
        <f>ROUND(AVERAGE(C5:G5),2)</f>
        <v>12.96</v>
      </c>
      <c r="D14" s="2">
        <f>ROUND(_xlfn.STDEV.S(C5:G5),2)</f>
        <v>1.92</v>
      </c>
      <c r="E14" s="24"/>
      <c r="F14" s="24"/>
      <c r="G14" s="24"/>
    </row>
    <row r="15" spans="1:7">
      <c r="B15" s="22">
        <v>0.5</v>
      </c>
      <c r="C15" s="2">
        <f>ROUND(AVERAGE(C6:G6),2)</f>
        <v>7.54</v>
      </c>
      <c r="D15" s="2">
        <f>ROUND(_xlfn.STDEV.S(C6:G6),2)</f>
        <v>2.83</v>
      </c>
      <c r="E15" s="24"/>
      <c r="F15" s="24"/>
      <c r="G15" s="24"/>
    </row>
    <row r="16" spans="1:7">
      <c r="B16" s="23" t="s">
        <v>0</v>
      </c>
      <c r="C16" s="2">
        <f>'Control Pea Shoot'!E8</f>
        <v>16.919999999999998</v>
      </c>
      <c r="D16" s="2">
        <f>'Control Pea Shoot'!F8</f>
        <v>1.81</v>
      </c>
      <c r="E16" s="24"/>
      <c r="F16" s="24"/>
      <c r="G16" s="24"/>
    </row>
  </sheetData>
  <mergeCells count="4">
    <mergeCell ref="C10:D10"/>
    <mergeCell ref="E10:F10"/>
    <mergeCell ref="A2:A6"/>
    <mergeCell ref="B10:B1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G16"/>
  <sheetViews>
    <sheetView zoomScale="87" zoomScaleNormal="87" workbookViewId="0">
      <selection activeCell="H1" sqref="H1:H1048576"/>
    </sheetView>
  </sheetViews>
  <sheetFormatPr defaultColWidth="9" defaultRowHeight="13.5"/>
  <cols>
    <col min="2" max="2" width="13.125" customWidth="1"/>
    <col min="3" max="38" width="9.625" customWidth="1"/>
  </cols>
  <sheetData>
    <row r="2" spans="1:7" ht="16.5">
      <c r="A2" s="48" t="s">
        <v>14</v>
      </c>
      <c r="B2" s="1" t="s">
        <v>18</v>
      </c>
      <c r="C2" s="1" t="s">
        <v>24</v>
      </c>
      <c r="D2" s="1" t="s">
        <v>25</v>
      </c>
      <c r="E2" s="1" t="s">
        <v>26</v>
      </c>
      <c r="F2" s="1" t="s">
        <v>27</v>
      </c>
      <c r="G2" s="1" t="s">
        <v>28</v>
      </c>
    </row>
    <row r="3" spans="1:7">
      <c r="A3" s="48"/>
      <c r="B3" s="3">
        <v>0.1</v>
      </c>
      <c r="C3" s="4">
        <v>18.5</v>
      </c>
      <c r="D3" s="4">
        <v>19</v>
      </c>
      <c r="E3" s="4">
        <v>20</v>
      </c>
      <c r="F3" s="4">
        <v>19.5</v>
      </c>
      <c r="G3" s="4">
        <v>17</v>
      </c>
    </row>
    <row r="4" spans="1:7">
      <c r="A4" s="48"/>
      <c r="B4" s="3">
        <v>0.2</v>
      </c>
      <c r="C4" s="4">
        <v>18.5</v>
      </c>
      <c r="D4" s="4">
        <v>19.5</v>
      </c>
      <c r="E4" s="4">
        <v>19.5</v>
      </c>
      <c r="F4" s="4">
        <v>19</v>
      </c>
      <c r="G4" s="4">
        <v>19.5</v>
      </c>
    </row>
    <row r="5" spans="1:7">
      <c r="A5" s="48"/>
      <c r="B5" s="3">
        <v>0.3</v>
      </c>
      <c r="C5" s="4">
        <v>13</v>
      </c>
      <c r="D5" s="4">
        <v>8.3000000000000007</v>
      </c>
      <c r="E5" s="4">
        <v>7.2</v>
      </c>
      <c r="F5" s="4">
        <v>10.1</v>
      </c>
      <c r="G5" s="4">
        <v>7.7</v>
      </c>
    </row>
    <row r="6" spans="1:7">
      <c r="A6" s="48"/>
      <c r="B6" s="3">
        <v>0.5</v>
      </c>
      <c r="C6" s="4">
        <v>13</v>
      </c>
      <c r="D6" s="4">
        <v>11.1</v>
      </c>
      <c r="E6" s="4">
        <v>5</v>
      </c>
      <c r="F6" s="4">
        <v>6.5</v>
      </c>
      <c r="G6" s="4">
        <v>3.2</v>
      </c>
    </row>
    <row r="10" spans="1:7" ht="14.45" customHeight="1">
      <c r="B10" s="58" t="s">
        <v>15</v>
      </c>
      <c r="C10" s="56" t="s">
        <v>14</v>
      </c>
      <c r="D10" s="56"/>
      <c r="E10" s="57"/>
      <c r="F10" s="57"/>
      <c r="G10" s="21"/>
    </row>
    <row r="11" spans="1:7">
      <c r="B11" s="58"/>
      <c r="C11" s="5" t="s">
        <v>16</v>
      </c>
      <c r="D11" s="5" t="s">
        <v>17</v>
      </c>
      <c r="E11" s="6"/>
      <c r="F11" s="6"/>
      <c r="G11" s="6"/>
    </row>
    <row r="12" spans="1:7">
      <c r="B12" s="22">
        <v>0.1</v>
      </c>
      <c r="C12" s="2">
        <f>ROUND(AVERAGE(C3:G3),2)</f>
        <v>18.8</v>
      </c>
      <c r="D12" s="2">
        <f>ROUND(_xlfn.STDEV.S(C3:G3),2)</f>
        <v>1.1499999999999999</v>
      </c>
      <c r="E12" s="24"/>
      <c r="F12" s="24"/>
      <c r="G12" s="24"/>
    </row>
    <row r="13" spans="1:7">
      <c r="B13" s="22">
        <v>0.2</v>
      </c>
      <c r="C13" s="2">
        <f>ROUND(AVERAGE(C4:G4),2)</f>
        <v>19.2</v>
      </c>
      <c r="D13" s="2">
        <f>ROUND(_xlfn.STDEV.S(C4:G4),2)</f>
        <v>0.45</v>
      </c>
      <c r="E13" s="24"/>
      <c r="F13" s="24"/>
      <c r="G13" s="24"/>
    </row>
    <row r="14" spans="1:7">
      <c r="B14" s="22">
        <v>0.3</v>
      </c>
      <c r="C14" s="2">
        <f>ROUND(AVERAGE(C5:G5),2)</f>
        <v>9.26</v>
      </c>
      <c r="D14" s="2">
        <f>ROUND(_xlfn.STDEV.S(C5:G5),2)</f>
        <v>2.36</v>
      </c>
      <c r="E14" s="24"/>
      <c r="F14" s="24"/>
      <c r="G14" s="24"/>
    </row>
    <row r="15" spans="1:7">
      <c r="B15" s="22">
        <v>0.5</v>
      </c>
      <c r="C15" s="2">
        <f>ROUND(AVERAGE(C6:G6),2)</f>
        <v>7.76</v>
      </c>
      <c r="D15" s="2">
        <f>ROUND(_xlfn.STDEV.S(C6:G6),2)</f>
        <v>4.1399999999999997</v>
      </c>
      <c r="E15" s="24"/>
      <c r="F15" s="24"/>
      <c r="G15" s="24"/>
    </row>
    <row r="16" spans="1:7">
      <c r="B16" s="23" t="s">
        <v>0</v>
      </c>
      <c r="C16" s="2">
        <f>'Control Pea Shoot'!E8</f>
        <v>16.919999999999998</v>
      </c>
      <c r="D16" s="2">
        <f>'Control Pea Shoot'!F8</f>
        <v>1.81</v>
      </c>
      <c r="E16" s="24"/>
      <c r="F16" s="24"/>
      <c r="G16" s="24"/>
    </row>
  </sheetData>
  <mergeCells count="4">
    <mergeCell ref="C10:D10"/>
    <mergeCell ref="E10:F10"/>
    <mergeCell ref="A2:A6"/>
    <mergeCell ref="B10:B1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6"/>
  <sheetViews>
    <sheetView zoomScale="99" zoomScaleNormal="99" workbookViewId="0">
      <selection activeCell="H1" sqref="H1:H1048576"/>
    </sheetView>
  </sheetViews>
  <sheetFormatPr defaultColWidth="9" defaultRowHeight="14.45"/>
  <cols>
    <col min="2" max="2" width="13.125" customWidth="1"/>
    <col min="3" max="3" width="9.625" customWidth="1"/>
    <col min="4" max="4" width="14.75" customWidth="1"/>
    <col min="5" max="23" width="9.625" customWidth="1"/>
  </cols>
  <sheetData>
    <row r="1" spans="1:7" ht="15" customHeight="1">
      <c r="A1" s="12"/>
      <c r="B1" s="13" t="s">
        <v>29</v>
      </c>
      <c r="C1" s="13" t="s">
        <v>1</v>
      </c>
      <c r="D1" s="13" t="s">
        <v>2</v>
      </c>
      <c r="E1" s="14" t="s">
        <v>3</v>
      </c>
      <c r="F1" s="1" t="s">
        <v>4</v>
      </c>
      <c r="G1" s="1" t="s">
        <v>5</v>
      </c>
    </row>
    <row r="2" spans="1:7" s="11" customFormat="1" ht="15" customHeight="1">
      <c r="A2" s="12" t="s">
        <v>14</v>
      </c>
      <c r="B2" s="16" t="s">
        <v>12</v>
      </c>
      <c r="C2" s="8">
        <v>11</v>
      </c>
      <c r="D2" s="8">
        <v>11.6</v>
      </c>
      <c r="E2" s="17">
        <v>11.6</v>
      </c>
      <c r="F2" s="27">
        <v>12</v>
      </c>
      <c r="G2" s="27">
        <v>12.1</v>
      </c>
    </row>
    <row r="3" spans="1:7" ht="15" customHeight="1"/>
    <row r="4" spans="1:7" ht="15" customHeight="1"/>
    <row r="6" spans="1:7">
      <c r="D6" s="49" t="s">
        <v>15</v>
      </c>
      <c r="E6" s="56" t="s">
        <v>14</v>
      </c>
      <c r="F6" s="56"/>
    </row>
    <row r="7" spans="1:7" ht="28.5" customHeight="1">
      <c r="D7" s="49"/>
      <c r="E7" s="5" t="s">
        <v>16</v>
      </c>
      <c r="F7" s="5" t="s">
        <v>17</v>
      </c>
    </row>
    <row r="8" spans="1:7" ht="27" customHeight="1">
      <c r="D8" s="3" t="s">
        <v>0</v>
      </c>
      <c r="E8" s="2">
        <f>AVERAGE(C2:G2)</f>
        <v>11.66</v>
      </c>
      <c r="F8" s="2">
        <f>ROUND(_xlfn.STDEV.S(C2:G2),2)</f>
        <v>0.43</v>
      </c>
    </row>
    <row r="13" spans="1:7">
      <c r="A13" s="11"/>
      <c r="B13" s="18"/>
      <c r="C13" s="18"/>
      <c r="D13" s="18"/>
      <c r="E13" s="18"/>
      <c r="F13" s="18"/>
      <c r="G13" s="18"/>
    </row>
    <row r="14" spans="1:7">
      <c r="A14" s="11"/>
      <c r="B14" s="19"/>
      <c r="C14" s="20"/>
      <c r="D14" s="20"/>
      <c r="E14" s="20"/>
      <c r="F14" s="20"/>
      <c r="G14" s="20"/>
    </row>
    <row r="15" spans="1:7">
      <c r="A15" s="11"/>
      <c r="B15" s="19"/>
      <c r="C15" s="20"/>
      <c r="D15" s="20"/>
      <c r="E15" s="20"/>
      <c r="F15" s="20"/>
      <c r="G15" s="20"/>
    </row>
    <row r="16" spans="1:7">
      <c r="A16" s="11"/>
      <c r="B16" s="11"/>
      <c r="C16" s="10"/>
      <c r="D16" s="10"/>
      <c r="E16" s="10"/>
      <c r="F16" s="10"/>
      <c r="G16" s="10"/>
    </row>
  </sheetData>
  <mergeCells count="2">
    <mergeCell ref="E6:F6"/>
    <mergeCell ref="D6:D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21"/>
  <sheetViews>
    <sheetView zoomScale="99" zoomScaleNormal="99" workbookViewId="0">
      <selection activeCell="H1" sqref="H1:H1048576"/>
    </sheetView>
  </sheetViews>
  <sheetFormatPr defaultColWidth="9" defaultRowHeight="13.5" customHeight="1"/>
  <cols>
    <col min="2" max="2" width="14.5" customWidth="1"/>
    <col min="3" max="38" width="9.625" customWidth="1"/>
  </cols>
  <sheetData>
    <row r="1" spans="1:9" ht="16.5">
      <c r="A1" s="48" t="s">
        <v>14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>
      <c r="A2" s="48"/>
      <c r="B2" s="3">
        <v>0.1</v>
      </c>
      <c r="C2" s="4">
        <v>14.8</v>
      </c>
      <c r="D2" s="4">
        <v>14</v>
      </c>
      <c r="E2" s="4">
        <v>15.7</v>
      </c>
      <c r="F2" s="4">
        <v>12.6</v>
      </c>
      <c r="G2" s="4">
        <v>12.9</v>
      </c>
    </row>
    <row r="3" spans="1:9">
      <c r="A3" s="48"/>
      <c r="B3" s="3">
        <v>0.2</v>
      </c>
      <c r="C3" s="4">
        <v>17.399999999999999</v>
      </c>
      <c r="D3" s="4">
        <v>17</v>
      </c>
      <c r="E3" s="4">
        <v>15.7</v>
      </c>
      <c r="F3" s="4">
        <v>12.6</v>
      </c>
      <c r="G3" s="4">
        <v>15.5</v>
      </c>
    </row>
    <row r="4" spans="1:9">
      <c r="A4" s="48"/>
      <c r="B4" s="3">
        <v>0.3</v>
      </c>
      <c r="C4" s="4">
        <v>20.5</v>
      </c>
      <c r="D4" s="4">
        <v>17.8</v>
      </c>
      <c r="E4" s="4">
        <v>18.600000000000001</v>
      </c>
      <c r="F4" s="4">
        <v>20.5</v>
      </c>
      <c r="G4" s="4">
        <v>18</v>
      </c>
    </row>
    <row r="5" spans="1:9">
      <c r="A5" s="48"/>
      <c r="B5" s="3">
        <v>0.5</v>
      </c>
      <c r="C5" s="4">
        <v>14.5</v>
      </c>
      <c r="D5" s="4">
        <v>18.5</v>
      </c>
      <c r="E5" s="4">
        <v>11</v>
      </c>
      <c r="F5" s="4">
        <v>10.5</v>
      </c>
      <c r="G5" s="4">
        <v>14.3</v>
      </c>
    </row>
    <row r="7" spans="1:9"/>
    <row r="8" spans="1:9"/>
    <row r="9" spans="1:9" ht="14.45" customHeight="1">
      <c r="B9" s="49" t="s">
        <v>15</v>
      </c>
      <c r="C9" s="46" t="s">
        <v>14</v>
      </c>
      <c r="D9" s="47"/>
    </row>
    <row r="10" spans="1:9" ht="14.45" customHeight="1">
      <c r="B10" s="49"/>
      <c r="C10" s="5" t="s">
        <v>16</v>
      </c>
      <c r="D10" s="5" t="s">
        <v>17</v>
      </c>
    </row>
    <row r="11" spans="1:9" ht="14.45" customHeight="1">
      <c r="B11" s="3">
        <v>0.1</v>
      </c>
      <c r="C11" s="2">
        <f>AVERAGE(C2:G2)</f>
        <v>14</v>
      </c>
      <c r="D11" s="2">
        <f>ROUND(_xlfn.STDEV.S(C2:G2),2)</f>
        <v>1.29</v>
      </c>
    </row>
    <row r="12" spans="1:9" ht="14.45" customHeight="1">
      <c r="B12" s="3">
        <v>0.2</v>
      </c>
      <c r="C12" s="2">
        <f t="shared" ref="C12:C14" si="0">AVERAGE(C3:G3)</f>
        <v>15.639999999999997</v>
      </c>
      <c r="D12" s="2">
        <f>ROUND(_xlfn.STDEV.S(C3:G3),2)</f>
        <v>1.88</v>
      </c>
    </row>
    <row r="13" spans="1:9" ht="14.45" customHeight="1">
      <c r="B13" s="3">
        <v>0.3</v>
      </c>
      <c r="C13" s="2">
        <f t="shared" si="0"/>
        <v>19.080000000000002</v>
      </c>
      <c r="D13" s="2">
        <f>ROUND(_xlfn.STDEV.S(C4:G4),2)</f>
        <v>1.33</v>
      </c>
    </row>
    <row r="14" spans="1:9" ht="14.45" customHeight="1">
      <c r="B14" s="3">
        <v>0.5</v>
      </c>
      <c r="C14" s="2">
        <f t="shared" si="0"/>
        <v>13.76</v>
      </c>
      <c r="D14" s="2">
        <f>ROUND(_xlfn.STDEV.S(C5:G5),2)</f>
        <v>3.22</v>
      </c>
    </row>
    <row r="15" spans="1:9">
      <c r="B15" s="8" t="s">
        <v>0</v>
      </c>
      <c r="C15" s="8">
        <f>'Control Pea Root'!E8</f>
        <v>11.66</v>
      </c>
      <c r="D15" s="9">
        <f>'Control Pea Root'!F8</f>
        <v>0.43</v>
      </c>
      <c r="E15" s="24"/>
      <c r="F15" s="24"/>
      <c r="G15" s="24"/>
      <c r="H15" s="7"/>
      <c r="I15" s="7"/>
    </row>
    <row r="16" spans="1:9"/>
    <row r="17" spans="14:14"/>
    <row r="18" spans="14:14"/>
    <row r="21" spans="14:14">
      <c r="N21">
        <f>19.08/14.9</f>
        <v>1.2805369127516777</v>
      </c>
    </row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7"/>
  <sheetViews>
    <sheetView zoomScale="99" zoomScaleNormal="99" workbookViewId="0">
      <selection activeCell="H1" sqref="H1:H1048576"/>
    </sheetView>
  </sheetViews>
  <sheetFormatPr defaultColWidth="9" defaultRowHeight="14.45"/>
  <cols>
    <col min="2" max="2" width="14.5" customWidth="1"/>
    <col min="3" max="38" width="9.625" customWidth="1"/>
  </cols>
  <sheetData>
    <row r="1" spans="1:7" ht="16.5">
      <c r="A1" s="48" t="s">
        <v>14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ht="13.5">
      <c r="A2" s="48"/>
      <c r="B2" s="3">
        <v>0.1</v>
      </c>
      <c r="C2" s="4">
        <v>16.5</v>
      </c>
      <c r="D2" s="4">
        <v>14.5</v>
      </c>
      <c r="E2" s="4">
        <v>14</v>
      </c>
      <c r="F2" s="4">
        <v>11.5</v>
      </c>
      <c r="G2" s="4">
        <v>14</v>
      </c>
    </row>
    <row r="3" spans="1:7" ht="13.5">
      <c r="A3" s="48"/>
      <c r="B3" s="3">
        <v>0.2</v>
      </c>
      <c r="C3" s="4">
        <v>15</v>
      </c>
      <c r="D3" s="4">
        <v>15.5</v>
      </c>
      <c r="E3" s="4">
        <v>15.5</v>
      </c>
      <c r="F3" s="4">
        <v>13</v>
      </c>
      <c r="G3" s="4">
        <v>11</v>
      </c>
    </row>
    <row r="4" spans="1:7" ht="13.5">
      <c r="A4" s="48"/>
      <c r="B4" s="3">
        <v>0.3</v>
      </c>
      <c r="C4" s="4">
        <v>19</v>
      </c>
      <c r="D4" s="4">
        <v>12.7</v>
      </c>
      <c r="E4" s="4">
        <v>17</v>
      </c>
      <c r="F4" s="4">
        <v>10.7</v>
      </c>
      <c r="G4" s="4">
        <v>14</v>
      </c>
    </row>
    <row r="5" spans="1:7" ht="13.5">
      <c r="A5" s="48"/>
      <c r="B5" s="3">
        <v>0.5</v>
      </c>
      <c r="C5" s="4">
        <v>7.6</v>
      </c>
      <c r="D5" s="4">
        <v>9</v>
      </c>
      <c r="E5" s="4">
        <v>8.8000000000000007</v>
      </c>
      <c r="F5" s="4">
        <v>7.1</v>
      </c>
      <c r="G5" s="4">
        <v>6.3</v>
      </c>
    </row>
    <row r="7" spans="1:7" ht="13.5"/>
    <row r="8" spans="1:7" ht="13.5"/>
    <row r="9" spans="1:7" ht="14.45" customHeight="1">
      <c r="B9" s="49" t="s">
        <v>15</v>
      </c>
      <c r="C9" s="46" t="s">
        <v>14</v>
      </c>
      <c r="D9" s="47"/>
    </row>
    <row r="10" spans="1:7" ht="14.45" customHeight="1">
      <c r="B10" s="49"/>
      <c r="C10" s="5" t="s">
        <v>16</v>
      </c>
      <c r="D10" s="5" t="s">
        <v>17</v>
      </c>
    </row>
    <row r="11" spans="1:7" ht="14.45" customHeight="1">
      <c r="B11" s="3">
        <v>0.1</v>
      </c>
      <c r="C11" s="2">
        <f>AVERAGE(C2:G2)</f>
        <v>14.1</v>
      </c>
      <c r="D11" s="2">
        <f>ROUND(_xlfn.STDEV.S(C2:G2),2)</f>
        <v>1.78</v>
      </c>
    </row>
    <row r="12" spans="1:7" ht="14.45" customHeight="1">
      <c r="B12" s="3">
        <v>0.2</v>
      </c>
      <c r="C12" s="2">
        <f>AVERAGE(C3:G3)</f>
        <v>14</v>
      </c>
      <c r="D12" s="2">
        <f>ROUND(_xlfn.STDEV.S(C3:G3),2)</f>
        <v>1.97</v>
      </c>
    </row>
    <row r="13" spans="1:7" ht="14.45" customHeight="1">
      <c r="B13" s="3">
        <v>0.3</v>
      </c>
      <c r="C13" s="2">
        <f>AVERAGE(C4:G4)</f>
        <v>14.680000000000001</v>
      </c>
      <c r="D13" s="2">
        <f>ROUND(_xlfn.STDEV.S(C4:G4),2)</f>
        <v>3.33</v>
      </c>
    </row>
    <row r="14" spans="1:7" ht="14.45" customHeight="1">
      <c r="B14" s="3">
        <v>0.5</v>
      </c>
      <c r="C14" s="2">
        <f>AVERAGE(C5:G5)</f>
        <v>7.76</v>
      </c>
      <c r="D14" s="2">
        <f>ROUND(_xlfn.STDEV.S(C5:G5),2)</f>
        <v>1.1399999999999999</v>
      </c>
    </row>
    <row r="15" spans="1:7" ht="13.5">
      <c r="B15" s="8" t="s">
        <v>0</v>
      </c>
      <c r="C15" s="8">
        <f>'Control Pea Root'!E8</f>
        <v>11.66</v>
      </c>
      <c r="D15" s="9">
        <f>'Control Pea Root'!F8</f>
        <v>0.43</v>
      </c>
      <c r="E15" s="10"/>
      <c r="F15" s="10"/>
      <c r="G15" s="10"/>
    </row>
    <row r="16" spans="1:7" ht="13.5"/>
    <row r="17" ht="13.5"/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="99" zoomScaleNormal="99" workbookViewId="0">
      <selection activeCell="H1" sqref="H1:H1048576"/>
    </sheetView>
  </sheetViews>
  <sheetFormatPr defaultColWidth="9" defaultRowHeight="13.5" customHeight="1"/>
  <cols>
    <col min="2" max="2" width="14.5" customWidth="1"/>
    <col min="3" max="38" width="9.625" customWidth="1"/>
  </cols>
  <sheetData>
    <row r="1" spans="1:9" ht="16.5">
      <c r="A1" s="48" t="s">
        <v>14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>
      <c r="A2" s="48"/>
      <c r="B2" s="3">
        <v>0.1</v>
      </c>
      <c r="C2" s="4">
        <v>17.5</v>
      </c>
      <c r="D2" s="4">
        <v>15.5</v>
      </c>
      <c r="E2" s="4">
        <v>14.5</v>
      </c>
      <c r="F2" s="4">
        <v>13.9</v>
      </c>
      <c r="G2" s="4">
        <v>14.8</v>
      </c>
    </row>
    <row r="3" spans="1:9">
      <c r="A3" s="48"/>
      <c r="B3" s="3">
        <v>0.2</v>
      </c>
      <c r="C3" s="4">
        <v>16.5</v>
      </c>
      <c r="D3" s="4">
        <v>13.6</v>
      </c>
      <c r="E3" s="4">
        <v>17</v>
      </c>
      <c r="F3" s="4">
        <v>13</v>
      </c>
      <c r="G3" s="4">
        <v>15.3</v>
      </c>
    </row>
    <row r="4" spans="1:9">
      <c r="A4" s="48"/>
      <c r="B4" s="3">
        <v>0.3</v>
      </c>
      <c r="C4" s="4">
        <v>13</v>
      </c>
      <c r="D4" s="4">
        <v>25</v>
      </c>
      <c r="E4" s="4">
        <v>11.2</v>
      </c>
      <c r="F4" s="4">
        <v>14.8</v>
      </c>
      <c r="G4" s="4">
        <v>12.5</v>
      </c>
    </row>
    <row r="5" spans="1:9">
      <c r="A5" s="48"/>
      <c r="B5" s="3">
        <v>0.5</v>
      </c>
      <c r="C5" s="4">
        <v>12.9</v>
      </c>
      <c r="D5" s="4">
        <v>12.5</v>
      </c>
      <c r="E5" s="4">
        <v>9.5</v>
      </c>
      <c r="F5" s="4">
        <v>13.6</v>
      </c>
      <c r="G5" s="4">
        <v>12</v>
      </c>
    </row>
    <row r="7" spans="1:9"/>
    <row r="8" spans="1:9"/>
    <row r="9" spans="1:9" ht="14.45" customHeight="1">
      <c r="B9" s="49" t="s">
        <v>15</v>
      </c>
      <c r="C9" s="46" t="s">
        <v>14</v>
      </c>
      <c r="D9" s="47"/>
    </row>
    <row r="10" spans="1:9" ht="14.45" customHeight="1">
      <c r="B10" s="49"/>
      <c r="C10" s="5" t="s">
        <v>16</v>
      </c>
      <c r="D10" s="5" t="s">
        <v>17</v>
      </c>
    </row>
    <row r="11" spans="1:9" ht="14.45" customHeight="1">
      <c r="B11" s="3">
        <v>0.1</v>
      </c>
      <c r="C11" s="2">
        <f>AVERAGE(C2:G2)</f>
        <v>15.24</v>
      </c>
      <c r="D11" s="2">
        <f>ROUND(_xlfn.STDEV.S(C2:G2),2)</f>
        <v>1.39</v>
      </c>
    </row>
    <row r="12" spans="1:9" ht="14.45" customHeight="1">
      <c r="B12" s="3">
        <v>0.2</v>
      </c>
      <c r="C12" s="2">
        <f>AVERAGE(C3:G3)</f>
        <v>15.080000000000002</v>
      </c>
      <c r="D12" s="2">
        <f>ROUND(_xlfn.STDEV.S(C3:G3),2)</f>
        <v>1.75</v>
      </c>
    </row>
    <row r="13" spans="1:9" ht="14.45" customHeight="1">
      <c r="B13" s="3">
        <v>0.3</v>
      </c>
      <c r="C13" s="2">
        <f>AVERAGE(C4:G4)</f>
        <v>15.3</v>
      </c>
      <c r="D13" s="2">
        <f>ROUND(_xlfn.STDEV.S(C4:G4),2)</f>
        <v>5.57</v>
      </c>
    </row>
    <row r="14" spans="1:9" ht="14.45" customHeight="1">
      <c r="B14" s="3">
        <v>0.5</v>
      </c>
      <c r="C14" s="2">
        <f>AVERAGE(C5:G5)</f>
        <v>12.1</v>
      </c>
      <c r="D14" s="2">
        <f>ROUND(_xlfn.STDEV.S(C5:G5),2)</f>
        <v>1.57</v>
      </c>
    </row>
    <row r="15" spans="1:9">
      <c r="B15" s="8" t="s">
        <v>0</v>
      </c>
      <c r="C15" s="8">
        <f>'Control Pea Root'!E8</f>
        <v>11.66</v>
      </c>
      <c r="D15" s="9">
        <f>'Control Pea Root'!F8</f>
        <v>0.43</v>
      </c>
      <c r="E15" s="24"/>
      <c r="F15" s="24"/>
      <c r="G15" s="24"/>
      <c r="H15" s="7"/>
      <c r="I15" s="7"/>
    </row>
    <row r="16" spans="1:9"/>
    <row r="17"/>
    <row r="18"/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8"/>
  <sheetViews>
    <sheetView zoomScale="99" zoomScaleNormal="99" workbookViewId="0">
      <selection activeCell="H1" sqref="H1:H1048576"/>
    </sheetView>
  </sheetViews>
  <sheetFormatPr defaultColWidth="9" defaultRowHeight="13.5" customHeight="1"/>
  <cols>
    <col min="2" max="2" width="14.5" customWidth="1"/>
    <col min="3" max="38" width="9.625" customWidth="1"/>
  </cols>
  <sheetData>
    <row r="1" spans="1:9" ht="16.5">
      <c r="A1" s="48" t="s">
        <v>14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>
      <c r="A2" s="48"/>
      <c r="B2" s="3">
        <v>0.1</v>
      </c>
      <c r="C2" s="4">
        <v>13</v>
      </c>
      <c r="D2" s="4">
        <v>15</v>
      </c>
      <c r="E2" s="4">
        <v>13.5</v>
      </c>
      <c r="F2" s="4">
        <v>13.5</v>
      </c>
      <c r="G2" s="4">
        <v>14.5</v>
      </c>
    </row>
    <row r="3" spans="1:9">
      <c r="A3" s="48"/>
      <c r="B3" s="3">
        <v>0.2</v>
      </c>
      <c r="C3" s="4">
        <v>13.5</v>
      </c>
      <c r="D3" s="4">
        <v>12</v>
      </c>
      <c r="E3" s="4">
        <v>12.5</v>
      </c>
      <c r="F3" s="4">
        <v>14</v>
      </c>
      <c r="G3" s="4">
        <v>14</v>
      </c>
    </row>
    <row r="4" spans="1:9">
      <c r="A4" s="48"/>
      <c r="B4" s="3">
        <v>0.3</v>
      </c>
      <c r="C4" s="4">
        <v>20.6</v>
      </c>
      <c r="D4" s="4">
        <v>12</v>
      </c>
      <c r="E4" s="4">
        <v>16.600000000000001</v>
      </c>
      <c r="F4" s="4">
        <v>11.1</v>
      </c>
      <c r="G4" s="4">
        <v>13.3</v>
      </c>
    </row>
    <row r="5" spans="1:9">
      <c r="A5" s="48"/>
      <c r="B5" s="3">
        <v>0.5</v>
      </c>
      <c r="C5" s="4">
        <v>17</v>
      </c>
      <c r="D5" s="4">
        <v>14.3</v>
      </c>
      <c r="E5" s="4">
        <v>7.5</v>
      </c>
      <c r="F5" s="4">
        <v>13.3</v>
      </c>
      <c r="G5" s="4">
        <v>6.3</v>
      </c>
    </row>
    <row r="7" spans="1:9"/>
    <row r="8" spans="1:9"/>
    <row r="9" spans="1:9" ht="14.45" customHeight="1">
      <c r="B9" s="49" t="s">
        <v>15</v>
      </c>
      <c r="C9" s="46" t="s">
        <v>14</v>
      </c>
      <c r="D9" s="47"/>
    </row>
    <row r="10" spans="1:9" ht="14.45" customHeight="1">
      <c r="B10" s="49"/>
      <c r="C10" s="5" t="s">
        <v>16</v>
      </c>
      <c r="D10" s="5" t="s">
        <v>17</v>
      </c>
    </row>
    <row r="11" spans="1:9" ht="14.45" customHeight="1">
      <c r="B11" s="3">
        <v>0.1</v>
      </c>
      <c r="C11" s="2">
        <f>AVERAGE(C2:G2)</f>
        <v>13.9</v>
      </c>
      <c r="D11" s="2">
        <f>ROUND(_xlfn.STDEV.S(C2:G2),2)</f>
        <v>0.82</v>
      </c>
    </row>
    <row r="12" spans="1:9" ht="14.45" customHeight="1">
      <c r="B12" s="3">
        <v>0.2</v>
      </c>
      <c r="C12" s="2">
        <f>AVERAGE(C3:G3)</f>
        <v>13.2</v>
      </c>
      <c r="D12" s="2">
        <f>ROUND(_xlfn.STDEV.S(C3:G3),2)</f>
        <v>0.91</v>
      </c>
    </row>
    <row r="13" spans="1:9" ht="14.45" customHeight="1">
      <c r="B13" s="3">
        <v>0.3</v>
      </c>
      <c r="C13" s="2">
        <f>AVERAGE(C4:G4)</f>
        <v>14.720000000000002</v>
      </c>
      <c r="D13" s="2">
        <f>ROUND(_xlfn.STDEV.S(C4:G4),2)</f>
        <v>3.89</v>
      </c>
    </row>
    <row r="14" spans="1:9" ht="14.45" customHeight="1">
      <c r="B14" s="3">
        <v>0.5</v>
      </c>
      <c r="C14" s="2">
        <f>AVERAGE(C5:G5)</f>
        <v>11.679999999999998</v>
      </c>
      <c r="D14" s="2">
        <f>ROUND(_xlfn.STDEV.S(C5:G5),2)</f>
        <v>4.59</v>
      </c>
    </row>
    <row r="15" spans="1:9">
      <c r="B15" s="8" t="s">
        <v>0</v>
      </c>
      <c r="C15" s="8">
        <f>'Control Pea Root'!E8</f>
        <v>11.66</v>
      </c>
      <c r="D15" s="9">
        <f>'Control Pea Root'!F8</f>
        <v>0.43</v>
      </c>
      <c r="E15" s="24"/>
      <c r="F15" s="24"/>
      <c r="G15" s="24"/>
      <c r="H15" s="7"/>
      <c r="I15" s="7"/>
    </row>
    <row r="16" spans="1:9"/>
    <row r="17"/>
    <row r="18"/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6"/>
  <sheetViews>
    <sheetView zoomScale="99" zoomScaleNormal="99" workbookViewId="0">
      <selection activeCell="H1" sqref="H1:H1048576"/>
    </sheetView>
  </sheetViews>
  <sheetFormatPr defaultColWidth="9" defaultRowHeight="14.45"/>
  <cols>
    <col min="2" max="2" width="13.125" customWidth="1"/>
    <col min="3" max="3" width="9.625" customWidth="1"/>
    <col min="4" max="4" width="14.75" customWidth="1"/>
    <col min="5" max="23" width="9.625" customWidth="1"/>
  </cols>
  <sheetData>
    <row r="1" spans="1:7" ht="15" customHeight="1">
      <c r="A1" s="12"/>
      <c r="B1" s="13" t="s">
        <v>29</v>
      </c>
      <c r="C1" s="13" t="s">
        <v>1</v>
      </c>
      <c r="D1" s="13" t="s">
        <v>2</v>
      </c>
      <c r="E1" s="14" t="s">
        <v>3</v>
      </c>
      <c r="F1" s="1" t="s">
        <v>4</v>
      </c>
      <c r="G1" s="1" t="s">
        <v>5</v>
      </c>
    </row>
    <row r="2" spans="1:7" s="11" customFormat="1" ht="15" customHeight="1">
      <c r="A2" s="12" t="s">
        <v>14</v>
      </c>
      <c r="B2" s="16" t="s">
        <v>12</v>
      </c>
      <c r="C2" s="8">
        <v>30</v>
      </c>
      <c r="D2" s="8">
        <v>31</v>
      </c>
      <c r="E2" s="17">
        <v>32</v>
      </c>
      <c r="F2" s="27">
        <v>31.8</v>
      </c>
      <c r="G2" s="27">
        <v>32</v>
      </c>
    </row>
    <row r="3" spans="1:7" ht="15" customHeight="1"/>
    <row r="4" spans="1:7" ht="15" customHeight="1"/>
    <row r="6" spans="1:7">
      <c r="D6" s="49" t="s">
        <v>15</v>
      </c>
      <c r="E6" s="56" t="s">
        <v>14</v>
      </c>
      <c r="F6" s="56"/>
    </row>
    <row r="7" spans="1:7" ht="28.5" customHeight="1">
      <c r="D7" s="49"/>
      <c r="E7" s="5" t="s">
        <v>16</v>
      </c>
      <c r="F7" s="5" t="s">
        <v>17</v>
      </c>
    </row>
    <row r="8" spans="1:7" ht="27" customHeight="1">
      <c r="D8" s="3" t="s">
        <v>0</v>
      </c>
      <c r="E8" s="2">
        <f>AVERAGE(C2:G2)</f>
        <v>31.360000000000003</v>
      </c>
      <c r="F8" s="2">
        <f>ROUND(_xlfn.STDEV.S(C2:G2),2)</f>
        <v>0.86</v>
      </c>
    </row>
    <row r="13" spans="1:7">
      <c r="A13" s="11"/>
      <c r="B13" s="18"/>
      <c r="C13" s="18"/>
      <c r="D13" s="18"/>
      <c r="E13" s="18"/>
      <c r="F13" s="18"/>
      <c r="G13" s="18"/>
    </row>
    <row r="14" spans="1:7">
      <c r="A14" s="11"/>
      <c r="B14" s="19"/>
      <c r="C14" s="20"/>
      <c r="D14" s="20"/>
      <c r="E14" s="20"/>
      <c r="F14" s="20"/>
      <c r="G14" s="20"/>
    </row>
    <row r="15" spans="1:7">
      <c r="A15" s="11"/>
      <c r="B15" s="19"/>
      <c r="C15" s="20"/>
      <c r="D15" s="20"/>
      <c r="E15" s="20"/>
      <c r="F15" s="20"/>
      <c r="G15" s="20"/>
    </row>
    <row r="16" spans="1:7">
      <c r="A16" s="11"/>
      <c r="B16" s="11"/>
      <c r="C16" s="10"/>
      <c r="D16" s="10"/>
      <c r="E16" s="10"/>
      <c r="F16" s="10"/>
      <c r="G16" s="10"/>
    </row>
  </sheetData>
  <mergeCells count="2">
    <mergeCell ref="E6:F6"/>
    <mergeCell ref="D6:D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8"/>
  <sheetViews>
    <sheetView zoomScale="99" zoomScaleNormal="99" workbookViewId="0">
      <selection activeCell="H1" sqref="H1:H1048576"/>
    </sheetView>
  </sheetViews>
  <sheetFormatPr defaultColWidth="9" defaultRowHeight="13.5" customHeight="1"/>
  <cols>
    <col min="2" max="2" width="14.5" customWidth="1"/>
    <col min="3" max="38" width="9.625" customWidth="1"/>
  </cols>
  <sheetData>
    <row r="1" spans="1:9" ht="16.5">
      <c r="A1" s="48" t="s">
        <v>14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>
      <c r="A2" s="48"/>
      <c r="B2" s="3">
        <v>0.1</v>
      </c>
      <c r="C2" s="4">
        <v>33</v>
      </c>
      <c r="D2" s="4">
        <v>35.5</v>
      </c>
      <c r="E2" s="4">
        <v>35</v>
      </c>
      <c r="F2" s="4">
        <v>34.5</v>
      </c>
      <c r="G2" s="4">
        <v>33</v>
      </c>
    </row>
    <row r="3" spans="1:9">
      <c r="A3" s="48"/>
      <c r="B3" s="3">
        <v>0.2</v>
      </c>
      <c r="C3" s="4">
        <v>33.5</v>
      </c>
      <c r="D3" s="4">
        <v>33</v>
      </c>
      <c r="E3" s="4">
        <v>33.5</v>
      </c>
      <c r="F3" s="4">
        <v>34.5</v>
      </c>
      <c r="G3" s="4">
        <v>35</v>
      </c>
    </row>
    <row r="4" spans="1:9">
      <c r="A4" s="48"/>
      <c r="B4" s="3">
        <v>0.3</v>
      </c>
      <c r="C4" s="4">
        <v>34</v>
      </c>
      <c r="D4" s="4">
        <v>21</v>
      </c>
      <c r="E4" s="4">
        <v>27.5</v>
      </c>
      <c r="F4" s="4">
        <v>18</v>
      </c>
      <c r="G4" s="4">
        <v>22</v>
      </c>
    </row>
    <row r="5" spans="1:9">
      <c r="A5" s="48"/>
      <c r="B5" s="3">
        <v>0.5</v>
      </c>
      <c r="C5" s="4">
        <v>31</v>
      </c>
      <c r="D5" s="4">
        <v>26.5</v>
      </c>
      <c r="E5" s="4">
        <v>13.5</v>
      </c>
      <c r="F5" s="4">
        <v>20</v>
      </c>
      <c r="G5" s="4">
        <v>20</v>
      </c>
    </row>
    <row r="7" spans="1:9"/>
    <row r="8" spans="1:9"/>
    <row r="9" spans="1:9" ht="14.45" customHeight="1">
      <c r="B9" s="49" t="s">
        <v>15</v>
      </c>
      <c r="C9" s="46" t="s">
        <v>14</v>
      </c>
      <c r="D9" s="47"/>
    </row>
    <row r="10" spans="1:9" ht="14.45" customHeight="1">
      <c r="B10" s="49"/>
      <c r="C10" s="5" t="s">
        <v>16</v>
      </c>
      <c r="D10" s="5" t="s">
        <v>17</v>
      </c>
    </row>
    <row r="11" spans="1:9" ht="14.45" customHeight="1">
      <c r="B11" s="3">
        <v>0.1</v>
      </c>
      <c r="C11" s="2">
        <f>AVERAGE(C2:G2)</f>
        <v>34.200000000000003</v>
      </c>
      <c r="D11" s="2">
        <f>ROUND(_xlfn.STDEV.S(C2:G2),2)</f>
        <v>1.1499999999999999</v>
      </c>
    </row>
    <row r="12" spans="1:9" ht="14.45" customHeight="1">
      <c r="B12" s="3">
        <v>0.2</v>
      </c>
      <c r="C12" s="2">
        <f>AVERAGE(C3:G3)</f>
        <v>33.9</v>
      </c>
      <c r="D12" s="2">
        <f>ROUND(_xlfn.STDEV.S(C3:G3),2)</f>
        <v>0.82</v>
      </c>
    </row>
    <row r="13" spans="1:9" ht="14.45" customHeight="1">
      <c r="B13" s="3">
        <v>0.3</v>
      </c>
      <c r="C13" s="2">
        <f>AVERAGE(C4:G4)</f>
        <v>24.5</v>
      </c>
      <c r="D13" s="2">
        <f>ROUND(_xlfn.STDEV.S(C4:G4),2)</f>
        <v>6.32</v>
      </c>
    </row>
    <row r="14" spans="1:9" ht="14.45" customHeight="1">
      <c r="B14" s="3">
        <v>0.5</v>
      </c>
      <c r="C14" s="2">
        <f>AVERAGE(C5:G5)</f>
        <v>22.2</v>
      </c>
      <c r="D14" s="2">
        <f>ROUND(_xlfn.STDEV.S(C5:G5),2)</f>
        <v>6.73</v>
      </c>
    </row>
    <row r="15" spans="1:9">
      <c r="B15" s="8" t="s">
        <v>0</v>
      </c>
      <c r="C15" s="8">
        <f>'Control Pea Total Length'!E8</f>
        <v>31.360000000000003</v>
      </c>
      <c r="D15" s="9">
        <f>'Control Pea Total Length'!F8</f>
        <v>0.86</v>
      </c>
      <c r="E15" s="24"/>
      <c r="F15" s="24"/>
      <c r="G15" s="24"/>
      <c r="H15" s="7"/>
      <c r="I15" s="7"/>
    </row>
    <row r="16" spans="1:9"/>
    <row r="17"/>
    <row r="18"/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18"/>
  <sheetViews>
    <sheetView zoomScale="99" zoomScaleNormal="99" workbookViewId="0">
      <selection activeCell="H1" sqref="H1:H1048576"/>
    </sheetView>
  </sheetViews>
  <sheetFormatPr defaultColWidth="9" defaultRowHeight="13.5" customHeight="1"/>
  <cols>
    <col min="2" max="2" width="14.5" customWidth="1"/>
    <col min="3" max="38" width="9.625" customWidth="1"/>
  </cols>
  <sheetData>
    <row r="1" spans="1:9" ht="16.5">
      <c r="A1" s="48" t="s">
        <v>14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>
      <c r="A2" s="48"/>
      <c r="B2" s="3">
        <v>0.1</v>
      </c>
      <c r="C2" s="4">
        <v>39.5</v>
      </c>
      <c r="D2" s="4">
        <v>38.5</v>
      </c>
      <c r="E2" s="4">
        <v>37.5</v>
      </c>
      <c r="F2" s="4">
        <v>37</v>
      </c>
      <c r="G2" s="4">
        <v>37.5</v>
      </c>
    </row>
    <row r="3" spans="1:9">
      <c r="A3" s="48"/>
      <c r="B3" s="3">
        <v>0.2</v>
      </c>
      <c r="C3" s="4">
        <v>38.5</v>
      </c>
      <c r="D3" s="4">
        <v>33.5</v>
      </c>
      <c r="E3" s="4">
        <v>39.5</v>
      </c>
      <c r="F3" s="4">
        <v>30</v>
      </c>
      <c r="G3" s="4">
        <v>34.5</v>
      </c>
    </row>
    <row r="4" spans="1:9">
      <c r="A4" s="48"/>
      <c r="B4" s="3">
        <v>0.3</v>
      </c>
      <c r="C4" s="4">
        <v>29</v>
      </c>
      <c r="D4" s="4">
        <v>40.1</v>
      </c>
      <c r="E4" s="4">
        <v>22.5</v>
      </c>
      <c r="F4" s="4">
        <v>28.5</v>
      </c>
      <c r="G4" s="4">
        <v>30</v>
      </c>
    </row>
    <row r="5" spans="1:9">
      <c r="A5" s="48"/>
      <c r="B5" s="3">
        <v>0.5</v>
      </c>
      <c r="C5" s="4">
        <v>24.5</v>
      </c>
      <c r="D5" s="4">
        <v>16.5</v>
      </c>
      <c r="E5" s="4">
        <v>18.2</v>
      </c>
      <c r="F5" s="4">
        <v>21.3</v>
      </c>
      <c r="G5" s="4">
        <v>17</v>
      </c>
    </row>
    <row r="7" spans="1:9"/>
    <row r="8" spans="1:9"/>
    <row r="9" spans="1:9" ht="14.45" customHeight="1">
      <c r="B9" s="49" t="s">
        <v>15</v>
      </c>
      <c r="C9" s="46" t="s">
        <v>14</v>
      </c>
      <c r="D9" s="47"/>
    </row>
    <row r="10" spans="1:9" ht="14.45" customHeight="1">
      <c r="B10" s="49"/>
      <c r="C10" s="5" t="s">
        <v>16</v>
      </c>
      <c r="D10" s="5" t="s">
        <v>17</v>
      </c>
    </row>
    <row r="11" spans="1:9" ht="14.45" customHeight="1">
      <c r="B11" s="3">
        <v>0.1</v>
      </c>
      <c r="C11" s="2">
        <f>AVERAGE(C2:G2)</f>
        <v>38</v>
      </c>
      <c r="D11" s="2">
        <f>ROUND(_xlfn.STDEV.S(C2:G2),2)</f>
        <v>1</v>
      </c>
    </row>
    <row r="12" spans="1:9" ht="14.45" customHeight="1">
      <c r="B12" s="3">
        <v>0.2</v>
      </c>
      <c r="C12" s="2">
        <f>AVERAGE(C3:G3)</f>
        <v>35.200000000000003</v>
      </c>
      <c r="D12" s="2">
        <f>ROUND(_xlfn.STDEV.S(C3:G3),2)</f>
        <v>3.87</v>
      </c>
    </row>
    <row r="13" spans="1:9" ht="14.45" customHeight="1">
      <c r="B13" s="3">
        <v>0.3</v>
      </c>
      <c r="C13" s="2">
        <f>AVERAGE(C4:G4)</f>
        <v>30.02</v>
      </c>
      <c r="D13" s="2">
        <f>ROUND(_xlfn.STDEV.S(C4:G4),2)</f>
        <v>6.35</v>
      </c>
    </row>
    <row r="14" spans="1:9" ht="14.45" customHeight="1">
      <c r="B14" s="3">
        <v>0.5</v>
      </c>
      <c r="C14" s="2">
        <f>AVERAGE(C5:G5)</f>
        <v>19.5</v>
      </c>
      <c r="D14" s="2">
        <f>ROUND(_xlfn.STDEV.S(C5:G5),2)</f>
        <v>3.36</v>
      </c>
    </row>
    <row r="15" spans="1:9">
      <c r="B15" s="8" t="s">
        <v>0</v>
      </c>
      <c r="C15" s="8">
        <f>'Control Pea Total Length'!E8</f>
        <v>31.360000000000003</v>
      </c>
      <c r="D15" s="9">
        <f>'Control Pea Total Length'!F8</f>
        <v>0.86</v>
      </c>
      <c r="E15" s="24"/>
      <c r="F15" s="24"/>
      <c r="G15" s="24"/>
      <c r="H15" s="7"/>
      <c r="I15" s="7"/>
    </row>
    <row r="16" spans="1:9"/>
    <row r="17"/>
    <row r="18"/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7"/>
  <sheetViews>
    <sheetView zoomScale="99" zoomScaleNormal="99" workbookViewId="0">
      <selection activeCell="H1" sqref="H1:H1048576"/>
    </sheetView>
  </sheetViews>
  <sheetFormatPr defaultColWidth="9" defaultRowHeight="14.45"/>
  <cols>
    <col min="2" max="2" width="14.5" customWidth="1"/>
    <col min="3" max="38" width="9.625" customWidth="1"/>
  </cols>
  <sheetData>
    <row r="1" spans="1:7" ht="16.5">
      <c r="A1" s="48" t="s">
        <v>14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ht="13.5">
      <c r="A2" s="48"/>
      <c r="B2" s="3">
        <v>0.1</v>
      </c>
      <c r="C2" s="4">
        <v>38.5</v>
      </c>
      <c r="D2" s="4">
        <v>35</v>
      </c>
      <c r="E2" s="4">
        <v>35</v>
      </c>
      <c r="F2" s="4">
        <v>34</v>
      </c>
      <c r="G2" s="4">
        <v>35</v>
      </c>
    </row>
    <row r="3" spans="1:7" ht="13.5">
      <c r="A3" s="48"/>
      <c r="B3" s="3">
        <v>0.2</v>
      </c>
      <c r="C3" s="4">
        <v>36.5</v>
      </c>
      <c r="D3" s="4">
        <v>38</v>
      </c>
      <c r="E3" s="4">
        <v>38</v>
      </c>
      <c r="F3" s="4">
        <v>35</v>
      </c>
      <c r="G3" s="4">
        <v>32</v>
      </c>
    </row>
    <row r="4" spans="1:7" ht="13.5">
      <c r="A4" s="48"/>
      <c r="B4" s="3">
        <v>0.3</v>
      </c>
      <c r="C4" s="4">
        <v>31.5</v>
      </c>
      <c r="D4" s="4">
        <v>26.2</v>
      </c>
      <c r="E4" s="4">
        <v>34.5</v>
      </c>
      <c r="F4" s="4">
        <v>22.5</v>
      </c>
      <c r="G4" s="4">
        <v>26.7</v>
      </c>
    </row>
    <row r="5" spans="1:7" ht="13.5">
      <c r="A5" s="48"/>
      <c r="B5" s="3">
        <v>0.5</v>
      </c>
      <c r="C5" s="4">
        <v>14.8</v>
      </c>
      <c r="D5" s="4">
        <v>18.5</v>
      </c>
      <c r="E5" s="4">
        <v>20.7</v>
      </c>
      <c r="F5" s="4">
        <v>19.399999999999999</v>
      </c>
      <c r="G5" s="4">
        <v>13.6</v>
      </c>
    </row>
    <row r="7" spans="1:7" ht="13.5"/>
    <row r="8" spans="1:7" ht="13.5"/>
    <row r="9" spans="1:7" ht="14.45" customHeight="1">
      <c r="B9" s="49" t="s">
        <v>15</v>
      </c>
      <c r="C9" s="46" t="s">
        <v>14</v>
      </c>
      <c r="D9" s="47"/>
    </row>
    <row r="10" spans="1:7" ht="14.45" customHeight="1">
      <c r="B10" s="49"/>
      <c r="C10" s="5" t="s">
        <v>16</v>
      </c>
      <c r="D10" s="5" t="s">
        <v>17</v>
      </c>
    </row>
    <row r="11" spans="1:7" ht="14.45" customHeight="1">
      <c r="B11" s="3">
        <v>0.1</v>
      </c>
      <c r="C11" s="2">
        <f>AVERAGE(C2:G2)</f>
        <v>35.5</v>
      </c>
      <c r="D11" s="2">
        <f>ROUND(_xlfn.STDEV.S(C2:G2),2)</f>
        <v>1.73</v>
      </c>
    </row>
    <row r="12" spans="1:7" ht="14.45" customHeight="1">
      <c r="B12" s="3">
        <v>0.2</v>
      </c>
      <c r="C12" s="2">
        <f>AVERAGE(C3:G3)</f>
        <v>35.9</v>
      </c>
      <c r="D12" s="2">
        <f>ROUND(_xlfn.STDEV.S(C3:G3),2)</f>
        <v>2.5099999999999998</v>
      </c>
    </row>
    <row r="13" spans="1:7" ht="14.45" customHeight="1">
      <c r="B13" s="3">
        <v>0.3</v>
      </c>
      <c r="C13" s="2">
        <f>AVERAGE(C4:G4)</f>
        <v>28.28</v>
      </c>
      <c r="D13" s="2">
        <f>ROUND(_xlfn.STDEV.S(C4:G4),2)</f>
        <v>4.72</v>
      </c>
    </row>
    <row r="14" spans="1:7" ht="14.45" customHeight="1">
      <c r="B14" s="3">
        <v>0.5</v>
      </c>
      <c r="C14" s="2">
        <f>AVERAGE(C5:G5)</f>
        <v>17.399999999999999</v>
      </c>
      <c r="D14" s="2">
        <f>ROUND(_xlfn.STDEV.S(C5:G5),2)</f>
        <v>3.05</v>
      </c>
    </row>
    <row r="15" spans="1:7" ht="13.5">
      <c r="B15" s="8" t="s">
        <v>0</v>
      </c>
      <c r="C15" s="8">
        <f>'Control Pea Total Length'!E8</f>
        <v>31.360000000000003</v>
      </c>
      <c r="D15" s="9">
        <f>'Control Pea Total Length'!F8</f>
        <v>0.86</v>
      </c>
      <c r="E15" s="10"/>
      <c r="F15" s="10"/>
      <c r="G15" s="10"/>
    </row>
    <row r="16" spans="1:7" ht="13.5"/>
    <row r="17" ht="13.5"/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18"/>
  <sheetViews>
    <sheetView tabSelected="1" zoomScale="99" zoomScaleNormal="99" workbookViewId="0">
      <selection activeCell="G1" sqref="G1:G1048576"/>
    </sheetView>
  </sheetViews>
  <sheetFormatPr defaultColWidth="9" defaultRowHeight="13.5" customHeight="1"/>
  <cols>
    <col min="2" max="2" width="14.5" customWidth="1"/>
    <col min="3" max="37" width="9.625" customWidth="1"/>
  </cols>
  <sheetData>
    <row r="1" spans="1:8" ht="16.5">
      <c r="A1" s="48" t="s">
        <v>14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</row>
    <row r="2" spans="1:8">
      <c r="A2" s="48"/>
      <c r="B2" s="3">
        <v>0.1</v>
      </c>
      <c r="C2" s="4">
        <v>34.799999999999997</v>
      </c>
      <c r="D2" s="4">
        <v>37</v>
      </c>
      <c r="E2" s="4">
        <v>36.700000000000003</v>
      </c>
      <c r="F2" s="4">
        <v>32.6</v>
      </c>
    </row>
    <row r="3" spans="1:8">
      <c r="A3" s="48"/>
      <c r="B3" s="3">
        <v>0.2</v>
      </c>
      <c r="C3" s="4">
        <v>38.4</v>
      </c>
      <c r="D3" s="4">
        <v>40.5</v>
      </c>
      <c r="E3" s="4">
        <v>39.5</v>
      </c>
      <c r="F3" s="4">
        <v>31</v>
      </c>
    </row>
    <row r="4" spans="1:8">
      <c r="A4" s="48"/>
      <c r="B4" s="3">
        <v>0.3</v>
      </c>
      <c r="C4" s="4">
        <v>36</v>
      </c>
      <c r="D4" s="4">
        <v>35</v>
      </c>
      <c r="E4" s="4">
        <v>33</v>
      </c>
      <c r="F4" s="4">
        <v>37.5</v>
      </c>
    </row>
    <row r="5" spans="1:8">
      <c r="A5" s="48"/>
      <c r="B5" s="3">
        <v>0.5</v>
      </c>
      <c r="C5" s="4">
        <v>27</v>
      </c>
      <c r="D5" s="4">
        <v>29</v>
      </c>
      <c r="E5" s="4">
        <v>22.4</v>
      </c>
      <c r="F5" s="4">
        <v>32</v>
      </c>
    </row>
    <row r="7" spans="1:8"/>
    <row r="8" spans="1:8"/>
    <row r="9" spans="1:8" ht="14.45" customHeight="1">
      <c r="B9" s="49" t="s">
        <v>15</v>
      </c>
      <c r="C9" s="46" t="s">
        <v>14</v>
      </c>
      <c r="D9" s="47"/>
    </row>
    <row r="10" spans="1:8" ht="14.45" customHeight="1">
      <c r="B10" s="49"/>
      <c r="C10" s="5" t="s">
        <v>16</v>
      </c>
      <c r="D10" s="5" t="s">
        <v>17</v>
      </c>
    </row>
    <row r="11" spans="1:8" ht="14.45" customHeight="1">
      <c r="B11" s="3">
        <v>0.1</v>
      </c>
      <c r="C11" s="2">
        <f>AVERAGE(C2:F2)</f>
        <v>35.274999999999999</v>
      </c>
      <c r="D11" s="2">
        <f>ROUND(_xlfn.STDEV.S(C2:F2),2)</f>
        <v>2.0299999999999998</v>
      </c>
    </row>
    <row r="12" spans="1:8" ht="14.45" customHeight="1">
      <c r="B12" s="3">
        <v>0.2</v>
      </c>
      <c r="C12" s="2">
        <f>AVERAGE(C3:F3)</f>
        <v>37.35</v>
      </c>
      <c r="D12" s="2">
        <f>ROUND(_xlfn.STDEV.S(C3:F3),2)</f>
        <v>4.32</v>
      </c>
    </row>
    <row r="13" spans="1:8" ht="14.45" customHeight="1">
      <c r="B13" s="3">
        <v>0.3</v>
      </c>
      <c r="C13" s="2">
        <f>AVERAGE(C4:F4)</f>
        <v>35.375</v>
      </c>
      <c r="D13" s="2">
        <f>ROUND(_xlfn.STDEV.S(C4:F4),2)</f>
        <v>1.89</v>
      </c>
    </row>
    <row r="14" spans="1:8" ht="14.45" customHeight="1">
      <c r="B14" s="3">
        <v>0.5</v>
      </c>
      <c r="C14" s="2">
        <f>AVERAGE(C5:F5)</f>
        <v>27.6</v>
      </c>
      <c r="D14" s="2">
        <f>ROUND(_xlfn.STDEV.S(C5:F5),2)</f>
        <v>4.03</v>
      </c>
    </row>
    <row r="15" spans="1:8">
      <c r="B15" s="8" t="s">
        <v>0</v>
      </c>
      <c r="C15" s="8">
        <f>'Control Pea Total Length'!E8</f>
        <v>31.360000000000003</v>
      </c>
      <c r="D15" s="9">
        <f>'Control Pea Total Length'!F8</f>
        <v>0.86</v>
      </c>
      <c r="E15" s="24"/>
      <c r="F15" s="24"/>
      <c r="G15" s="7"/>
      <c r="H15" s="7"/>
    </row>
    <row r="16" spans="1:8"/>
    <row r="17"/>
    <row r="18"/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0" master="" otherUserPermission="visible">
    <arrUserId title="Range1" rangeCreator="" othersAccessPermission="edit"/>
  </rangeList>
  <rangeList sheetStid="3" master="" otherUserPermission="visible"/>
  <rangeList sheetStid="2" master="" otherUserPermission="visible"/>
  <rangeList sheetStid="4" master="" otherUserPermission="visible"/>
  <rangeList sheetStid="6" master="" otherUserPermission="visible"/>
  <rangeList sheetStid="16" master="" otherUserPermission="visible"/>
  <rangeList sheetStid="11" master="" otherUserPermission="visible"/>
  <rangeList sheetStid="17" master="" otherUserPermission="visible"/>
  <rangeList sheetStid="18" master="" otherUserPermission="visible"/>
  <rangeList sheetStid="19" master="" otherUserPermission="visible"/>
  <rangeList sheetStid="24" master="" otherUserPermission="visible"/>
  <rangeList sheetStid="15" master="" otherUserPermission="visible"/>
  <rangeList sheetStid="25" master="" otherUserPermission="visible"/>
  <rangeList sheetStid="21" master="" otherUserPermission="visible"/>
  <rangeList sheetStid="22" master="" otherUserPermission="visible"/>
  <rangeList sheetStid="26" master="" otherUserPermission="visible"/>
  <rangeList sheetStid="27" master="" otherUserPermission="visible"/>
  <rangeList sheetStid="28" master="" otherUserPermission="visible"/>
  <rangeList sheetStid="29" master="" otherUserPermission="visible"/>
  <rangeList sheetStid="30" master="" otherUserPermission="visible"/>
  <rangeList sheetStid="31" master="" otherUserPermission="visible"/>
  <rangeList sheetStid="32" master="" otherUserPermission="visible"/>
  <rangeList sheetStid="33" master="" otherUserPermission="visible"/>
  <rangeList sheetStid="34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Abhinav Raj</dc:creator>
  <cp:keywords/>
  <dc:description/>
  <cp:lastModifiedBy/>
  <cp:revision/>
  <dcterms:created xsi:type="dcterms:W3CDTF">2026-05-06T10:26:00Z</dcterms:created>
  <dcterms:modified xsi:type="dcterms:W3CDTF">2026-06-16T17:21:36Z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78C794B088E74429942D733DFA07212C_13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