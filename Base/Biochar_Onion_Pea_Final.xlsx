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3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5.xml.rels" ContentType="application/vnd.openxmlformats-package.relationships+xml"/>
  <Override PartName="/xl/worksheets/_rels/sheet7.xml.rels" ContentType="application/vnd.openxmlformats-package.relationships+xml"/>
  <Override PartName="/xl/worksheets/_rels/sheet14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2.xml" ContentType="application/vnd.openxmlformats-officedocument.drawingml.chart+xml"/>
  <Override PartName="/xl/charts/chart11.xml" ContentType="application/vnd.openxmlformats-officedocument.drawingml.chart+xml"/>
  <Override PartName="/xl/charts/chart10.xml" ContentType="application/vnd.openxmlformats-officedocument.drawingml.chart+xml"/>
  <Override PartName="/xl/charts/chart16.xml" ContentType="application/vnd.openxmlformats-officedocument.drawingml.chart+xml"/>
  <Override PartName="/xl/charts/chart4.xml" ContentType="application/vnd.openxmlformats-officedocument.drawingml.chart+xml"/>
  <Override PartName="/xl/charts/chart15.xml" ContentType="application/vnd.openxmlformats-officedocument.drawingml.chart+xml"/>
  <Override PartName="/xl/charts/chart3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13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_rels/drawing12.xml.rels" ContentType="application/vnd.openxmlformats-package.relationships+xml"/>
  <Override PartName="/xl/drawings/_rels/drawing2.xml.rels" ContentType="application/vnd.openxmlformats-package.relationships+xml"/>
  <Override PartName="/xl/drawings/_rels/drawing7.xml.rels" ContentType="application/vnd.openxmlformats-package.relationships+xml"/>
  <Override PartName="/xl/drawings/_rels/drawing9.xml.rels" ContentType="application/vnd.openxmlformats-package.relationships+xml"/>
  <Override PartName="/xl/drawings/_rels/drawing3.xml.rels" ContentType="application/vnd.openxmlformats-package.relationships+xml"/>
  <Override PartName="/xl/drawings/_rels/drawing13.xml.rels" ContentType="application/vnd.openxmlformats-package.relationships+xml"/>
  <Override PartName="/xl/drawings/_rels/drawing10.xml.rels" ContentType="application/vnd.openxmlformats-package.relationships+xml"/>
  <Override PartName="/xl/drawings/_rels/drawing8.xml.rels" ContentType="application/vnd.openxmlformats-package.relationships+xml"/>
  <Override PartName="/xl/drawings/_rels/drawing16.xml.rels" ContentType="application/vnd.openxmlformats-package.relationships+xml"/>
  <Override PartName="/xl/drawings/_rels/drawing15.xml.rels" ContentType="application/vnd.openxmlformats-package.relationships+xml"/>
  <Override PartName="/xl/drawings/_rels/drawing14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8.xml" ContentType="application/vnd.openxmlformats-officedocument.drawing+xml"/>
  <Override PartName="/xl/drawings/drawing16.xml" ContentType="application/vnd.openxmlformats-officedocument.drawing+xml"/>
  <Override PartName="/xl/drawings/drawing15.xml" ContentType="application/vnd.openxmlformats-officedocument.drawing+xml"/>
  <Override PartName="/xl/drawings/drawing14.xml" ContentType="application/vnd.openxmlformats-officedocument.drawing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0.xml" ContentType="application/vnd.openxmlformats-officedocument.drawing+xml"/>
  <Override PartName="/xl/drawings/drawing6.xml" ContentType="application/vnd.openxmlformats-officedocument.drawing+xml"/>
  <Override PartName="/xl/drawings/drawing11.xml" ContentType="application/vnd.openxmlformats-officedocument.drawing+xml"/>
  <Override PartName="/xl/drawings/drawing7.xml" ContentType="application/vnd.openxmlformats-officedocument.drawing+xml"/>
  <Override PartName="/xl/drawings/drawing1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Control Onion" sheetId="1" state="visible" r:id="rId2"/>
    <sheet name="Acrostichum aureum" sheetId="2" state="visible" r:id="rId3"/>
    <sheet name="Cyclosorus interruptus" sheetId="3" state="visible" r:id="rId4"/>
    <sheet name="Ludwigia peruviana" sheetId="4" state="visible" r:id="rId5"/>
    <sheet name="Quisqualis indica" sheetId="5" state="visible" r:id="rId6"/>
    <sheet name="Control Pea Shoot" sheetId="6" state="visible" r:id="rId7"/>
    <sheet name="Acrostichum shoot " sheetId="7" state="visible" r:id="rId8"/>
    <sheet name="Quisqualis indica Shoot" sheetId="8" state="visible" r:id="rId9"/>
    <sheet name="Ludwigia peruviana Shoot" sheetId="9" state="visible" r:id="rId10"/>
    <sheet name="Cyclosorus interruptus Shoot" sheetId="10" state="visible" r:id="rId11"/>
    <sheet name="Control Pea Root" sheetId="11" state="visible" r:id="rId12"/>
    <sheet name="Acrostichum root (Pea)" sheetId="12" state="visible" r:id="rId13"/>
    <sheet name="Quisqualis root (Pea)" sheetId="13" state="visible" r:id="rId14"/>
    <sheet name="Ludwegia root (Pea) " sheetId="14" state="visible" r:id="rId15"/>
    <sheet name="Cyclosorus root (Pea) " sheetId="15" state="visible" r:id="rId16"/>
    <sheet name="Control Pea Total Length" sheetId="16" state="visible" r:id="rId17"/>
    <sheet name="Cyclosorus TL (Pea)  " sheetId="17" state="visible" r:id="rId18"/>
    <sheet name="Ludwegia TL(Pea) " sheetId="18" state="visible" r:id="rId19"/>
    <sheet name="Acrostichum TL (Pea) " sheetId="19" state="visible" r:id="rId20"/>
    <sheet name="Quisqualis TL (Pea)" sheetId="20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<sst xmlns="http://schemas.openxmlformats.org/spreadsheetml/2006/main" count="550" uniqueCount="45">
  <si>
    <t xml:space="preserve">Control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</si>
  <si>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</si>
  <si>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</si>
  <si>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</si>
  <si>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</si>
  <si>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</si>
  <si>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</si>
  <si>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</si>
  <si>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t xml:space="preserve">R8</t>
  </si>
  <si>
    <t xml:space="preserve">R9</t>
  </si>
  <si>
    <t xml:space="preserve">R10</t>
  </si>
  <si>
    <t xml:space="preserve">R11</t>
  </si>
  <si>
    <t xml:space="preserve">R12</t>
  </si>
  <si>
    <t xml:space="preserve">R13</t>
  </si>
  <si>
    <t xml:space="preserve">R14</t>
  </si>
  <si>
    <t xml:space="preserve">R15</t>
  </si>
  <si>
    <t xml:space="preserve">R16</t>
  </si>
  <si>
    <t xml:space="preserve">R17</t>
  </si>
  <si>
    <t xml:space="preserve">R18</t>
  </si>
  <si>
    <t xml:space="preserve">R19</t>
  </si>
  <si>
    <t xml:space="preserve">R20</t>
  </si>
  <si>
    <t xml:space="preserve">Mean</t>
  </si>
  <si>
    <t xml:space="preserve">Day 3</t>
  </si>
  <si>
    <t xml:space="preserve">0.1,0.2,0.3, 0.5</t>
  </si>
  <si>
    <t xml:space="preserve">Day 5</t>
  </si>
  <si>
    <t xml:space="preserve">Day 7</t>
  </si>
  <si>
    <t xml:space="preserve">Biochar Concentration</t>
  </si>
  <si>
    <t xml:space="preserve">SD</t>
  </si>
  <si>
    <t xml:space="preserve">Concentration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</si>
  <si>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</si>
  <si>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</si>
  <si>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</si>
  <si>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</si>
  <si>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</si>
  <si>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</si>
  <si>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</si>
  <si>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</si>
  <si>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</si>
  <si>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</si>
  <si>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Shoot1</t>
  </si>
  <si>
    <t xml:space="preserve">Shoot2</t>
  </si>
  <si>
    <t xml:space="preserve">Shoot3</t>
  </si>
  <si>
    <t xml:space="preserve">Shoot4</t>
  </si>
  <si>
    <t xml:space="preserve">Shoot5</t>
  </si>
  <si>
    <t xml:space="preserve">Control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</si>
</sst>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34"/>
    </font>
    <font>
      <b val="true"/>
      <sz val="14"/>
      <color rgb="FF595959"/>
      <name val="Times New Roman"/>
      <family val="2"/>
    </font>
    <font>
      <sz val="9"/>
      <color rgb="FF595959"/>
      <name val="Calibri"/>
      <family val="2"/>
    </font>
    <font>
      <sz val="12"/>
      <color rgb="FF595959"/>
      <name val="Times New Roman"/>
      <family val="2"/>
    </font>
    <font>
      <sz val="10"/>
      <color rgb="FF595959"/>
      <name val="Times New Roman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E7E6E6"/>
      </patternFill>
    </fill>
    <fill>
      <patternFill patternType="solid">
        <fgColor rgb="FFE7E6E6"/>
        <bgColor rgb="FFD9D9D9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Acrostichum aureum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'Acrostichum aureum'!$C$20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'Acrostichum aureum'!$D$22:$D$26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0.6</c:v>
                  </c:pt>
                  <c:pt idx="2">
                    <c:v>0.2</c:v>
                  </c:pt>
                  <c:pt idx="3">
                    <c:v>0.41</c:v>
                  </c:pt>
                  <c:pt idx="4">
                    <c:v>0.61</c:v>
                  </c:pt>
                </c:numCache>
              </c:numRef>
            </c:plus>
            <c:minus>
              <c:numRef>
                <c:f>'Acrostichum aureum'!$D$22:$D$26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0.6</c:v>
                  </c:pt>
                  <c:pt idx="2">
                    <c:v>0.2</c:v>
                  </c:pt>
                  <c:pt idx="3">
                    <c:v>0.41</c:v>
                  </c:pt>
                  <c:pt idx="4">
                    <c:v>0.61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'Acrostichum aureum'!$B$22:$B$26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aureum'!$C$22:$C$26</c:f>
              <c:numCache>
                <c:formatCode>General</c:formatCode>
                <c:ptCount val="5"/>
                <c:pt idx="0">
                  <c:v>0</c:v>
                </c:pt>
                <c:pt idx="1">
                  <c:v>2.37</c:v>
                </c:pt>
                <c:pt idx="2">
                  <c:v>2.19</c:v>
                </c:pt>
                <c:pt idx="3">
                  <c:v>2.58</c:v>
                </c:pt>
                <c:pt idx="4">
                  <c:v>1.985</c:v>
                </c:pt>
              </c:numCache>
            </c:numRef>
          </c:val>
        </c:ser>
        <c:ser>
          <c:idx val="1"/>
          <c:order val="1"/>
          <c:tx>
            <c:strRef>
              <c:f>'Acrostichum aureum'!$E$20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'Acrostichum aureum'!$F$22:$F$26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0.35</c:v>
                  </c:pt>
                  <c:pt idx="2">
                    <c:v>0.5</c:v>
                  </c:pt>
                  <c:pt idx="3">
                    <c:v>0.35</c:v>
                  </c:pt>
                  <c:pt idx="4">
                    <c:v>1.07</c:v>
                  </c:pt>
                </c:numCache>
              </c:numRef>
            </c:plus>
            <c:minus>
              <c:numRef>
                <c:f>'Acrostichum aureum'!$F$22:$F$26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0.35</c:v>
                  </c:pt>
                  <c:pt idx="2">
                    <c:v>0.5</c:v>
                  </c:pt>
                  <c:pt idx="3">
                    <c:v>0.35</c:v>
                  </c:pt>
                  <c:pt idx="4">
                    <c:v>1.07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'Acrostichum aureum'!$B$22:$B$26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aureum'!$E$22:$E$26</c:f>
              <c:numCache>
                <c:formatCode>General</c:formatCode>
                <c:ptCount val="5"/>
                <c:pt idx="0">
                  <c:v>0</c:v>
                </c:pt>
                <c:pt idx="1">
                  <c:v>5.14</c:v>
                </c:pt>
                <c:pt idx="2">
                  <c:v>5</c:v>
                </c:pt>
                <c:pt idx="3">
                  <c:v>5.54</c:v>
                </c:pt>
                <c:pt idx="4">
                  <c:v>4.06</c:v>
                </c:pt>
              </c:numCache>
            </c:numRef>
          </c:val>
        </c:ser>
        <c:ser>
          <c:idx val="2"/>
          <c:order val="2"/>
          <c:tx>
            <c:strRef>
              <c:f>'Acrostichum aureum'!$G$20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'Acrostichum aureum'!$H$22:$H$26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0.53</c:v>
                  </c:pt>
                  <c:pt idx="2">
                    <c:v>0.45</c:v>
                  </c:pt>
                  <c:pt idx="3">
                    <c:v>0.54</c:v>
                  </c:pt>
                  <c:pt idx="4">
                    <c:v>1.13</c:v>
                  </c:pt>
                </c:numCache>
              </c:numRef>
            </c:plus>
            <c:minus>
              <c:numRef>
                <c:f>'Acrostichum aureum'!$H$22:$H$26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0.53</c:v>
                  </c:pt>
                  <c:pt idx="2">
                    <c:v>0.45</c:v>
                  </c:pt>
                  <c:pt idx="3">
                    <c:v>0.54</c:v>
                  </c:pt>
                  <c:pt idx="4">
                    <c:v>1.13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'Acrostichum aureum'!$B$22:$B$26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aureum'!$G$22:$G$26</c:f>
              <c:numCache>
                <c:formatCode>General</c:formatCode>
                <c:ptCount val="5"/>
                <c:pt idx="0">
                  <c:v>0</c:v>
                </c:pt>
                <c:pt idx="1">
                  <c:v>6.36</c:v>
                </c:pt>
                <c:pt idx="2">
                  <c:v>7.39</c:v>
                </c:pt>
                <c:pt idx="3">
                  <c:v>7.54</c:v>
                </c:pt>
                <c:pt idx="4">
                  <c:v>5.32</c:v>
                </c:pt>
              </c:numCache>
            </c:numRef>
          </c:val>
        </c:ser>
        <c:gapWidth val="219"/>
        <c:overlap val="-27"/>
        <c:axId val="99284132"/>
        <c:axId val="93812771"/>
      </c:barChart>
      <c:catAx>
        <c:axId val="992841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3812771"/>
        <c:crosses val="autoZero"/>
        <c:auto val="1"/>
        <c:lblAlgn val="ctr"/>
        <c:lblOffset val="100"/>
        <c:noMultiLvlLbl val="0"/>
      </c:catAx>
      <c:valAx>
        <c:axId val="9381277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Times New Roman"/>
                    <a:ea typeface="Times New Roman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Times New Roman"/>
                    <a:ea typeface="Times New Roman"/>
                  </a:rPr>
                  <a:t>Root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92841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Cyclosorus interruptus
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'Cyclosorus interruptus'!$C$20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'Cyclosorus interruptus'!$D$22:$D$26</c:f>
                <c:numCache>
                  <c:formatCode>General</c:formatCode>
                  <c:ptCount val="5"/>
                  <c:pt idx="0">
                    <c:v>0.28</c:v>
                  </c:pt>
                  <c:pt idx="1">
                    <c:v>0.36</c:v>
                  </c:pt>
                  <c:pt idx="2">
                    <c:v>0.31</c:v>
                  </c:pt>
                  <c:pt idx="3">
                    <c:v>0.19</c:v>
                  </c:pt>
                  <c:pt idx="4">
                    <c:v>0.61</c:v>
                  </c:pt>
                </c:numCache>
              </c:numRef>
            </c:plus>
            <c:minus>
              <c:numRef>
                <c:f>'Cyclosorus interruptus'!$D$22:$D$26</c:f>
                <c:numCache>
                  <c:formatCode>General</c:formatCode>
                  <c:ptCount val="5"/>
                  <c:pt idx="0">
                    <c:v>0.28</c:v>
                  </c:pt>
                  <c:pt idx="1">
                    <c:v>0.36</c:v>
                  </c:pt>
                  <c:pt idx="2">
                    <c:v>0.31</c:v>
                  </c:pt>
                  <c:pt idx="3">
                    <c:v>0.19</c:v>
                  </c:pt>
                  <c:pt idx="4">
                    <c:v>0.61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'Cyclosorus interruptus'!$B$22:$B$26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interruptus'!$C$22:$C$26</c:f>
              <c:numCache>
                <c:formatCode>General</c:formatCode>
                <c:ptCount val="5"/>
                <c:pt idx="0">
                  <c:v>1.26</c:v>
                </c:pt>
                <c:pt idx="1">
                  <c:v>1.5</c:v>
                </c:pt>
                <c:pt idx="2">
                  <c:v>1.92</c:v>
                </c:pt>
                <c:pt idx="3">
                  <c:v>2.77</c:v>
                </c:pt>
                <c:pt idx="4">
                  <c:v>1.985</c:v>
                </c:pt>
              </c:numCache>
            </c:numRef>
          </c:val>
        </c:ser>
        <c:ser>
          <c:idx val="1"/>
          <c:order val="1"/>
          <c:tx>
            <c:strRef>
              <c:f>'Cyclosorus interruptus'!$E$20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'Cyclosorus interruptus'!$F$22:$F$26</c:f>
                <c:numCache>
                  <c:formatCode>General</c:formatCode>
                  <c:ptCount val="5"/>
                  <c:pt idx="0">
                    <c:v>0.49</c:v>
                  </c:pt>
                  <c:pt idx="1">
                    <c:v>0.52</c:v>
                  </c:pt>
                  <c:pt idx="2">
                    <c:v>0.47</c:v>
                  </c:pt>
                  <c:pt idx="3">
                    <c:v>0.43</c:v>
                  </c:pt>
                  <c:pt idx="4">
                    <c:v>1.07</c:v>
                  </c:pt>
                </c:numCache>
              </c:numRef>
            </c:plus>
            <c:minus>
              <c:numRef>
                <c:f>'Cyclosorus interruptus'!$F$22:$F$26</c:f>
                <c:numCache>
                  <c:formatCode>General</c:formatCode>
                  <c:ptCount val="5"/>
                  <c:pt idx="0">
                    <c:v>0.49</c:v>
                  </c:pt>
                  <c:pt idx="1">
                    <c:v>0.52</c:v>
                  </c:pt>
                  <c:pt idx="2">
                    <c:v>0.47</c:v>
                  </c:pt>
                  <c:pt idx="3">
                    <c:v>0.43</c:v>
                  </c:pt>
                  <c:pt idx="4">
                    <c:v>1.07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'Cyclosorus interruptus'!$B$22:$B$26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interruptus'!$E$22:$E$26</c:f>
              <c:numCache>
                <c:formatCode>General</c:formatCode>
                <c:ptCount val="5"/>
                <c:pt idx="0">
                  <c:v>2.35</c:v>
                </c:pt>
                <c:pt idx="1">
                  <c:v>2.92</c:v>
                </c:pt>
                <c:pt idx="2">
                  <c:v>3.77</c:v>
                </c:pt>
                <c:pt idx="3">
                  <c:v>5.69</c:v>
                </c:pt>
                <c:pt idx="4">
                  <c:v>4.06</c:v>
                </c:pt>
              </c:numCache>
            </c:numRef>
          </c:val>
        </c:ser>
        <c:ser>
          <c:idx val="2"/>
          <c:order val="2"/>
          <c:tx>
            <c:strRef>
              <c:f>'Cyclosorus interruptus'!$G$20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'Cyclosorus interruptus'!$H$22:$H$26</c:f>
                <c:numCache>
                  <c:formatCode>General</c:formatCode>
                  <c:ptCount val="5"/>
                  <c:pt idx="0">
                    <c:v>0.86</c:v>
                  </c:pt>
                  <c:pt idx="1">
                    <c:v>0.62</c:v>
                  </c:pt>
                  <c:pt idx="2">
                    <c:v>0.52</c:v>
                  </c:pt>
                  <c:pt idx="3">
                    <c:v>1.03</c:v>
                  </c:pt>
                  <c:pt idx="4">
                    <c:v>1.13</c:v>
                  </c:pt>
                </c:numCache>
              </c:numRef>
            </c:plus>
            <c:minus>
              <c:numRef>
                <c:f>'Cyclosorus interruptus'!$H$22:$H$26</c:f>
                <c:numCache>
                  <c:formatCode>General</c:formatCode>
                  <c:ptCount val="5"/>
                  <c:pt idx="0">
                    <c:v>0.86</c:v>
                  </c:pt>
                  <c:pt idx="1">
                    <c:v>0.62</c:v>
                  </c:pt>
                  <c:pt idx="2">
                    <c:v>0.52</c:v>
                  </c:pt>
                  <c:pt idx="3">
                    <c:v>1.03</c:v>
                  </c:pt>
                  <c:pt idx="4">
                    <c:v>1.13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'Cyclosorus interruptus'!$B$22:$B$26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interruptus'!$G$22:$G$26</c:f>
              <c:numCache>
                <c:formatCode>General</c:formatCode>
                <c:ptCount val="5"/>
                <c:pt idx="0">
                  <c:v>3.24</c:v>
                </c:pt>
                <c:pt idx="1">
                  <c:v>3.79</c:v>
                </c:pt>
                <c:pt idx="2">
                  <c:v>4.88</c:v>
                </c:pt>
                <c:pt idx="3">
                  <c:v>7.16</c:v>
                </c:pt>
                <c:pt idx="4">
                  <c:v>5.32</c:v>
                </c:pt>
              </c:numCache>
            </c:numRef>
          </c:val>
        </c:ser>
        <c:gapWidth val="219"/>
        <c:overlap val="-27"/>
        <c:axId val="39692899"/>
        <c:axId val="45875302"/>
      </c:barChart>
      <c:catAx>
        <c:axId val="396928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5875302"/>
        <c:crosses val="autoZero"/>
        <c:auto val="1"/>
        <c:lblAlgn val="ctr"/>
        <c:lblOffset val="100"/>
        <c:noMultiLvlLbl val="0"/>
      </c:catAx>
      <c:valAx>
        <c:axId val="4587530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Root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96928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Ludwigia peruviana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'Ludwigia peruviana'!$C$20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'Ludwigia peruviana'!$D$22:$D$26</c:f>
                <c:numCache>
                  <c:formatCode>General</c:formatCode>
                  <c:ptCount val="5"/>
                  <c:pt idx="0">
                    <c:v>0.47</c:v>
                  </c:pt>
                  <c:pt idx="1">
                    <c:v>0.19</c:v>
                  </c:pt>
                  <c:pt idx="2">
                    <c:v>0.26</c:v>
                  </c:pt>
                  <c:pt idx="3">
                    <c:v>0.73</c:v>
                  </c:pt>
                  <c:pt idx="4">
                    <c:v>0.61</c:v>
                  </c:pt>
                </c:numCache>
              </c:numRef>
            </c:plus>
            <c:minus>
              <c:numRef>
                <c:f>'Ludwigia peruviana'!$D$22:$D$26</c:f>
                <c:numCache>
                  <c:formatCode>General</c:formatCode>
                  <c:ptCount val="5"/>
                  <c:pt idx="0">
                    <c:v>0.47</c:v>
                  </c:pt>
                  <c:pt idx="1">
                    <c:v>0.19</c:v>
                  </c:pt>
                  <c:pt idx="2">
                    <c:v>0.26</c:v>
                  </c:pt>
                  <c:pt idx="3">
                    <c:v>0.73</c:v>
                  </c:pt>
                  <c:pt idx="4">
                    <c:v>0.61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'Ludwigia peruviana'!$B$22:$B$26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peruviana'!$C$22:$C$26</c:f>
              <c:numCache>
                <c:formatCode>General</c:formatCode>
                <c:ptCount val="5"/>
                <c:pt idx="0">
                  <c:v>2.34</c:v>
                </c:pt>
                <c:pt idx="1">
                  <c:v>1.93</c:v>
                </c:pt>
                <c:pt idx="2">
                  <c:v>2.02</c:v>
                </c:pt>
                <c:pt idx="3">
                  <c:v>2.34</c:v>
                </c:pt>
                <c:pt idx="4">
                  <c:v>1.985</c:v>
                </c:pt>
              </c:numCache>
            </c:numRef>
          </c:val>
        </c:ser>
        <c:ser>
          <c:idx val="1"/>
          <c:order val="1"/>
          <c:tx>
            <c:strRef>
              <c:f>'Ludwigia peruviana'!$E$20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'Ludwigia peruviana'!$F$22:$F$26</c:f>
                <c:numCache>
                  <c:formatCode>General</c:formatCode>
                  <c:ptCount val="5"/>
                  <c:pt idx="0">
                    <c:v>0.64</c:v>
                  </c:pt>
                  <c:pt idx="1">
                    <c:v>0.52</c:v>
                  </c:pt>
                  <c:pt idx="2">
                    <c:v>0.42</c:v>
                  </c:pt>
                  <c:pt idx="3">
                    <c:v>1.2</c:v>
                  </c:pt>
                  <c:pt idx="4">
                    <c:v>1.07</c:v>
                  </c:pt>
                </c:numCache>
              </c:numRef>
            </c:plus>
            <c:minus>
              <c:numRef>
                <c:f>'Ludwigia peruviana'!$F$22:$F$26</c:f>
                <c:numCache>
                  <c:formatCode>General</c:formatCode>
                  <c:ptCount val="5"/>
                  <c:pt idx="0">
                    <c:v>0.64</c:v>
                  </c:pt>
                  <c:pt idx="1">
                    <c:v>0.52</c:v>
                  </c:pt>
                  <c:pt idx="2">
                    <c:v>0.42</c:v>
                  </c:pt>
                  <c:pt idx="3">
                    <c:v>1.2</c:v>
                  </c:pt>
                  <c:pt idx="4">
                    <c:v>1.07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'Ludwigia peruviana'!$B$22:$B$26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peruviana'!$E$22:$E$26</c:f>
              <c:numCache>
                <c:formatCode>General</c:formatCode>
                <c:ptCount val="5"/>
                <c:pt idx="0">
                  <c:v>5.27</c:v>
                </c:pt>
                <c:pt idx="1">
                  <c:v>3.85</c:v>
                </c:pt>
                <c:pt idx="2">
                  <c:v>5.99</c:v>
                </c:pt>
                <c:pt idx="3">
                  <c:v>6.13</c:v>
                </c:pt>
                <c:pt idx="4">
                  <c:v>4.06</c:v>
                </c:pt>
              </c:numCache>
            </c:numRef>
          </c:val>
        </c:ser>
        <c:ser>
          <c:idx val="2"/>
          <c:order val="2"/>
          <c:tx>
            <c:strRef>
              <c:f>'Ludwigia peruviana'!$G$20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'Ludwigia peruviana'!$H$22:$H$26</c:f>
                <c:numCache>
                  <c:formatCode>General</c:formatCode>
                  <c:ptCount val="5"/>
                  <c:pt idx="0">
                    <c:v>0.7</c:v>
                  </c:pt>
                  <c:pt idx="1">
                    <c:v>0.5</c:v>
                  </c:pt>
                  <c:pt idx="2">
                    <c:v>0.67</c:v>
                  </c:pt>
                  <c:pt idx="3">
                    <c:v>0.91</c:v>
                  </c:pt>
                  <c:pt idx="4">
                    <c:v>1.13</c:v>
                  </c:pt>
                </c:numCache>
              </c:numRef>
            </c:plus>
            <c:minus>
              <c:numRef>
                <c:f>'Ludwigia peruviana'!$H$22:$H$26</c:f>
                <c:numCache>
                  <c:formatCode>General</c:formatCode>
                  <c:ptCount val="5"/>
                  <c:pt idx="0">
                    <c:v>0.7</c:v>
                  </c:pt>
                  <c:pt idx="1">
                    <c:v>0.5</c:v>
                  </c:pt>
                  <c:pt idx="2">
                    <c:v>0.67</c:v>
                  </c:pt>
                  <c:pt idx="3">
                    <c:v>0.91</c:v>
                  </c:pt>
                  <c:pt idx="4">
                    <c:v>1.13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'Ludwigia peruviana'!$B$22:$B$26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peruviana'!$G$22:$G$26</c:f>
              <c:numCache>
                <c:formatCode>General</c:formatCode>
                <c:ptCount val="5"/>
                <c:pt idx="0">
                  <c:v>5.82</c:v>
                </c:pt>
                <c:pt idx="1">
                  <c:v>4.23</c:v>
                </c:pt>
                <c:pt idx="2">
                  <c:v>7.29</c:v>
                </c:pt>
                <c:pt idx="3">
                  <c:v>6.5</c:v>
                </c:pt>
                <c:pt idx="4">
                  <c:v>5.32</c:v>
                </c:pt>
              </c:numCache>
            </c:numRef>
          </c:val>
        </c:ser>
        <c:gapWidth val="219"/>
        <c:overlap val="-27"/>
        <c:axId val="71605790"/>
        <c:axId val="97617499"/>
      </c:barChart>
      <c:catAx>
        <c:axId val="716057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7617499"/>
        <c:crosses val="autoZero"/>
        <c:auto val="1"/>
        <c:lblAlgn val="ctr"/>
        <c:lblOffset val="100"/>
        <c:noMultiLvlLbl val="0"/>
      </c:catAx>
      <c:valAx>
        <c:axId val="9761749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Root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16057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Quisqualis indica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'Quisqualis indica'!$C$20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'Quisqualis indica'!$D$22:$D$26</c:f>
                <c:numCache>
                  <c:formatCode>General</c:formatCode>
                  <c:ptCount val="5"/>
                  <c:pt idx="0">
                    <c:v>0.31</c:v>
                  </c:pt>
                  <c:pt idx="1">
                    <c:v>0.77</c:v>
                  </c:pt>
                  <c:pt idx="2">
                    <c:v>0.23</c:v>
                  </c:pt>
                  <c:pt idx="3">
                    <c:v>0.3</c:v>
                  </c:pt>
                  <c:pt idx="4">
                    <c:v>0.61</c:v>
                  </c:pt>
                </c:numCache>
              </c:numRef>
            </c:plus>
            <c:minus>
              <c:numRef>
                <c:f>'Quisqualis indica'!$D$22:$D$26</c:f>
                <c:numCache>
                  <c:formatCode>General</c:formatCode>
                  <c:ptCount val="5"/>
                  <c:pt idx="0">
                    <c:v>0.31</c:v>
                  </c:pt>
                  <c:pt idx="1">
                    <c:v>0.77</c:v>
                  </c:pt>
                  <c:pt idx="2">
                    <c:v>0.23</c:v>
                  </c:pt>
                  <c:pt idx="3">
                    <c:v>0.3</c:v>
                  </c:pt>
                  <c:pt idx="4">
                    <c:v>0.61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'Quisqualis indica'!$B$22:$B$26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indica'!$C$22:$C$26</c:f>
              <c:numCache>
                <c:formatCode>General</c:formatCode>
                <c:ptCount val="5"/>
                <c:pt idx="0">
                  <c:v>1.71</c:v>
                </c:pt>
                <c:pt idx="1">
                  <c:v>1.99</c:v>
                </c:pt>
                <c:pt idx="2">
                  <c:v>1.92</c:v>
                </c:pt>
                <c:pt idx="3">
                  <c:v>2.01</c:v>
                </c:pt>
                <c:pt idx="4">
                  <c:v>1.985</c:v>
                </c:pt>
              </c:numCache>
            </c:numRef>
          </c:val>
        </c:ser>
        <c:ser>
          <c:idx val="1"/>
          <c:order val="1"/>
          <c:tx>
            <c:strRef>
              <c:f>'Quisqualis indica'!$E$20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'Quisqualis indica'!$F$22:$F$26</c:f>
                <c:numCache>
                  <c:formatCode>General</c:formatCode>
                  <c:ptCount val="5"/>
                  <c:pt idx="0">
                    <c:v>0.87</c:v>
                  </c:pt>
                  <c:pt idx="1">
                    <c:v>0.58</c:v>
                  </c:pt>
                  <c:pt idx="2">
                    <c:v>0.44</c:v>
                  </c:pt>
                  <c:pt idx="3">
                    <c:v>0.6</c:v>
                  </c:pt>
                  <c:pt idx="4">
                    <c:v>1.07</c:v>
                  </c:pt>
                </c:numCache>
              </c:numRef>
            </c:plus>
            <c:minus>
              <c:numRef>
                <c:f>'Quisqualis indica'!$F$22:$F$26</c:f>
                <c:numCache>
                  <c:formatCode>General</c:formatCode>
                  <c:ptCount val="5"/>
                  <c:pt idx="0">
                    <c:v>0.87</c:v>
                  </c:pt>
                  <c:pt idx="1">
                    <c:v>0.58</c:v>
                  </c:pt>
                  <c:pt idx="2">
                    <c:v>0.44</c:v>
                  </c:pt>
                  <c:pt idx="3">
                    <c:v>0.6</c:v>
                  </c:pt>
                  <c:pt idx="4">
                    <c:v>1.07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'Quisqualis indica'!$B$22:$B$26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indica'!$E$22:$E$26</c:f>
              <c:numCache>
                <c:formatCode>General</c:formatCode>
                <c:ptCount val="5"/>
                <c:pt idx="0">
                  <c:v>4.83</c:v>
                </c:pt>
                <c:pt idx="1">
                  <c:v>4.41</c:v>
                </c:pt>
                <c:pt idx="2">
                  <c:v>5.2</c:v>
                </c:pt>
                <c:pt idx="3">
                  <c:v>4.78</c:v>
                </c:pt>
                <c:pt idx="4">
                  <c:v>4.06</c:v>
                </c:pt>
              </c:numCache>
            </c:numRef>
          </c:val>
        </c:ser>
        <c:ser>
          <c:idx val="2"/>
          <c:order val="2"/>
          <c:tx>
            <c:strRef>
              <c:f>'Quisqualis indica'!$G$20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'Quisqualis indica'!$H$22:$H$26</c:f>
                <c:numCache>
                  <c:formatCode>General</c:formatCode>
                  <c:ptCount val="5"/>
                  <c:pt idx="0">
                    <c:v>1.42</c:v>
                  </c:pt>
                  <c:pt idx="1">
                    <c:v>0.94</c:v>
                  </c:pt>
                  <c:pt idx="2">
                    <c:v>0.54</c:v>
                  </c:pt>
                  <c:pt idx="3">
                    <c:v>1.05</c:v>
                  </c:pt>
                  <c:pt idx="4">
                    <c:v>1.13</c:v>
                  </c:pt>
                </c:numCache>
              </c:numRef>
            </c:plus>
            <c:minus>
              <c:numRef>
                <c:f>'Quisqualis indica'!$H$22:$H$26</c:f>
                <c:numCache>
                  <c:formatCode>General</c:formatCode>
                  <c:ptCount val="5"/>
                  <c:pt idx="0">
                    <c:v>1.42</c:v>
                  </c:pt>
                  <c:pt idx="1">
                    <c:v>0.94</c:v>
                  </c:pt>
                  <c:pt idx="2">
                    <c:v>0.54</c:v>
                  </c:pt>
                  <c:pt idx="3">
                    <c:v>1.05</c:v>
                  </c:pt>
                  <c:pt idx="4">
                    <c:v>1.13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'Quisqualis indica'!$B$22:$B$26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indica'!$G$22:$G$26</c:f>
              <c:numCache>
                <c:formatCode>General</c:formatCode>
                <c:ptCount val="5"/>
                <c:pt idx="0">
                  <c:v>6.42</c:v>
                </c:pt>
                <c:pt idx="1">
                  <c:v>4.42</c:v>
                </c:pt>
                <c:pt idx="2">
                  <c:v>7.26</c:v>
                </c:pt>
                <c:pt idx="3">
                  <c:v>6.93</c:v>
                </c:pt>
                <c:pt idx="4">
                  <c:v>5.32</c:v>
                </c:pt>
              </c:numCache>
            </c:numRef>
          </c:val>
        </c:ser>
        <c:gapWidth val="219"/>
        <c:overlap val="-27"/>
        <c:axId val="21827712"/>
        <c:axId val="15314118"/>
      </c:barChart>
      <c:catAx>
        <c:axId val="2182771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5314118"/>
        <c:crosses val="autoZero"/>
        <c:auto val="1"/>
        <c:lblAlgn val="ctr"/>
        <c:lblOffset val="100"/>
        <c:noMultiLvlLbl val="0"/>
      </c:catAx>
      <c:valAx>
        <c:axId val="1531411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Root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182771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Acrostichum aureum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'Acrostichum shoot '!$C$21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'Acrostichum shoot '!$D$23:$D$27</c:f>
                <c:numCache>
                  <c:formatCode>General</c:formatCode>
                  <c:ptCount val="5"/>
                  <c:pt idx="0">
                    <c:v>0.51</c:v>
                  </c:pt>
                  <c:pt idx="1">
                    <c:v>0.86</c:v>
                  </c:pt>
                  <c:pt idx="2">
                    <c:v>1.32</c:v>
                  </c:pt>
                  <c:pt idx="3">
                    <c:v>3.34</c:v>
                  </c:pt>
                  <c:pt idx="4">
                    <c:v>2.49</c:v>
                  </c:pt>
                </c:numCache>
              </c:numRef>
            </c:plus>
            <c:minus>
              <c:numRef>
                <c:f>'Acrostichum shoot '!$D$23:$D$27</c:f>
                <c:numCache>
                  <c:formatCode>General</c:formatCode>
                  <c:ptCount val="5"/>
                  <c:pt idx="0">
                    <c:v>0.51</c:v>
                  </c:pt>
                  <c:pt idx="1">
                    <c:v>0.86</c:v>
                  </c:pt>
                  <c:pt idx="2">
                    <c:v>1.32</c:v>
                  </c:pt>
                  <c:pt idx="3">
                    <c:v>3.34</c:v>
                  </c:pt>
                  <c:pt idx="4">
                    <c:v>2.49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'Acrostichum shoot 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shoot '!$C$23:$C$27</c:f>
              <c:numCache>
                <c:formatCode>General</c:formatCode>
                <c:ptCount val="5"/>
                <c:pt idx="0">
                  <c:v>10.44</c:v>
                </c:pt>
                <c:pt idx="1">
                  <c:v>10.12</c:v>
                </c:pt>
                <c:pt idx="2">
                  <c:v>8.26</c:v>
                </c:pt>
                <c:pt idx="3">
                  <c:v>4.97</c:v>
                </c:pt>
                <c:pt idx="4">
                  <c:v>7.6125</c:v>
                </c:pt>
              </c:numCache>
            </c:numRef>
          </c:val>
        </c:ser>
        <c:ser>
          <c:idx val="1"/>
          <c:order val="1"/>
          <c:tx>
            <c:strRef>
              <c:f>'Acrostichum shoot '!$E$21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'Acrostichum shoot '!$F$23:$F$27</c:f>
                <c:numCache>
                  <c:formatCode>General</c:formatCode>
                  <c:ptCount val="5"/>
                  <c:pt idx="0">
                    <c:v>1.4</c:v>
                  </c:pt>
                  <c:pt idx="1">
                    <c:v>0.91</c:v>
                  </c:pt>
                  <c:pt idx="2">
                    <c:v>1.18</c:v>
                  </c:pt>
                  <c:pt idx="3">
                    <c:v>2.91</c:v>
                  </c:pt>
                  <c:pt idx="4">
                    <c:v>5.14</c:v>
                  </c:pt>
                </c:numCache>
              </c:numRef>
            </c:plus>
            <c:minus>
              <c:numRef>
                <c:f>'Acrostichum shoot '!$F$23:$F$27</c:f>
                <c:numCache>
                  <c:formatCode>General</c:formatCode>
                  <c:ptCount val="5"/>
                  <c:pt idx="0">
                    <c:v>1.4</c:v>
                  </c:pt>
                  <c:pt idx="1">
                    <c:v>0.91</c:v>
                  </c:pt>
                  <c:pt idx="2">
                    <c:v>1.18</c:v>
                  </c:pt>
                  <c:pt idx="3">
                    <c:v>2.91</c:v>
                  </c:pt>
                  <c:pt idx="4">
                    <c:v>5.14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'Acrostichum shoot 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shoot '!$E$23:$E$27</c:f>
              <c:numCache>
                <c:formatCode>General</c:formatCode>
                <c:ptCount val="5"/>
                <c:pt idx="0">
                  <c:v>17.5</c:v>
                </c:pt>
                <c:pt idx="1">
                  <c:v>16.3</c:v>
                </c:pt>
                <c:pt idx="2">
                  <c:v>10.2</c:v>
                </c:pt>
                <c:pt idx="3">
                  <c:v>7.1</c:v>
                </c:pt>
                <c:pt idx="4">
                  <c:v>11.8</c:v>
                </c:pt>
              </c:numCache>
            </c:numRef>
          </c:val>
        </c:ser>
        <c:ser>
          <c:idx val="2"/>
          <c:order val="2"/>
          <c:tx>
            <c:strRef>
              <c:f>'Acrostichum shoot '!$G$21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'Acrostichum shoot '!$H$23:$H$27</c:f>
                <c:numCache>
                  <c:formatCode>General</c:formatCode>
                  <c:ptCount val="5"/>
                  <c:pt idx="0">
                    <c:v>2.17</c:v>
                  </c:pt>
                  <c:pt idx="1">
                    <c:v>2.78</c:v>
                  </c:pt>
                  <c:pt idx="2">
                    <c:v>1.64</c:v>
                  </c:pt>
                  <c:pt idx="3">
                    <c:v>1.86</c:v>
                  </c:pt>
                  <c:pt idx="4">
                    <c:v>3.78</c:v>
                  </c:pt>
                </c:numCache>
              </c:numRef>
            </c:plus>
            <c:minus>
              <c:numRef>
                <c:f>'Acrostichum shoot '!$H$23:$H$27</c:f>
                <c:numCache>
                  <c:formatCode>General</c:formatCode>
                  <c:ptCount val="5"/>
                  <c:pt idx="0">
                    <c:v>2.17</c:v>
                  </c:pt>
                  <c:pt idx="1">
                    <c:v>2.78</c:v>
                  </c:pt>
                  <c:pt idx="2">
                    <c:v>1.64</c:v>
                  </c:pt>
                  <c:pt idx="3">
                    <c:v>1.86</c:v>
                  </c:pt>
                  <c:pt idx="4">
                    <c:v>3.78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'Acrostichum shoot 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shoot '!$G$23:$G$27</c:f>
              <c:numCache>
                <c:formatCode>General</c:formatCode>
                <c:ptCount val="5"/>
                <c:pt idx="0">
                  <c:v>20.3</c:v>
                </c:pt>
                <c:pt idx="1">
                  <c:v>19.84</c:v>
                </c:pt>
                <c:pt idx="2">
                  <c:v>14.9</c:v>
                </c:pt>
                <c:pt idx="3">
                  <c:v>12.4</c:v>
                </c:pt>
                <c:pt idx="4">
                  <c:v>15.87</c:v>
                </c:pt>
              </c:numCache>
            </c:numRef>
          </c:val>
        </c:ser>
        <c:gapWidth val="219"/>
        <c:overlap val="-27"/>
        <c:axId val="78339126"/>
        <c:axId val="13756930"/>
      </c:barChart>
      <c:catAx>
        <c:axId val="783391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3756930"/>
        <c:crosses val="autoZero"/>
        <c:auto val="1"/>
        <c:lblAlgn val="ctr"/>
        <c:lblOffset val="100"/>
        <c:noMultiLvlLbl val="0"/>
      </c:catAx>
      <c:valAx>
        <c:axId val="1375693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Shoot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833912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Quisqualis indica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'Quisqualis indica Shoot'!$C$21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'Quisqualis indica Shoot'!$D$23:$D$27</c:f>
                <c:numCache>
                  <c:formatCode>General</c:formatCode>
                  <c:ptCount val="5"/>
                  <c:pt idx="0">
                    <c:v>1.04</c:v>
                  </c:pt>
                  <c:pt idx="1">
                    <c:v>0.95</c:v>
                  </c:pt>
                  <c:pt idx="2">
                    <c:v>1.22</c:v>
                  </c:pt>
                  <c:pt idx="3">
                    <c:v>0.67</c:v>
                  </c:pt>
                  <c:pt idx="4">
                    <c:v>2.49</c:v>
                  </c:pt>
                </c:numCache>
              </c:numRef>
            </c:plus>
            <c:minus>
              <c:numRef>
                <c:f>'Quisqualis indica Shoot'!$D$23:$D$27</c:f>
                <c:numCache>
                  <c:formatCode>General</c:formatCode>
                  <c:ptCount val="5"/>
                  <c:pt idx="0">
                    <c:v>1.04</c:v>
                  </c:pt>
                  <c:pt idx="1">
                    <c:v>0.95</c:v>
                  </c:pt>
                  <c:pt idx="2">
                    <c:v>1.22</c:v>
                  </c:pt>
                  <c:pt idx="3">
                    <c:v>0.67</c:v>
                  </c:pt>
                  <c:pt idx="4">
                    <c:v>2.49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'Quisqualis indica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 Shoot'!$C$23:$C$27</c:f>
              <c:numCache>
                <c:formatCode>General</c:formatCode>
                <c:ptCount val="5"/>
                <c:pt idx="0">
                  <c:v>10.5</c:v>
                </c:pt>
                <c:pt idx="1">
                  <c:v>10.62</c:v>
                </c:pt>
                <c:pt idx="2">
                  <c:v>6.48</c:v>
                </c:pt>
                <c:pt idx="3">
                  <c:v>3</c:v>
                </c:pt>
                <c:pt idx="4">
                  <c:v>7.6125</c:v>
                </c:pt>
              </c:numCache>
            </c:numRef>
          </c:val>
        </c:ser>
        <c:ser>
          <c:idx val="1"/>
          <c:order val="1"/>
          <c:tx>
            <c:strRef>
              <c:f>'Quisqualis indica Shoot'!$E$21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'Quisqualis indica Shoot'!$F$23:$F$27</c:f>
                <c:numCache>
                  <c:formatCode>General</c:formatCode>
                  <c:ptCount val="5"/>
                  <c:pt idx="0">
                    <c:v>0.81</c:v>
                  </c:pt>
                  <c:pt idx="1">
                    <c:v>0.87</c:v>
                  </c:pt>
                  <c:pt idx="2">
                    <c:v>1.72</c:v>
                  </c:pt>
                  <c:pt idx="3">
                    <c:v>0.83</c:v>
                  </c:pt>
                  <c:pt idx="4">
                    <c:v>5.14</c:v>
                  </c:pt>
                </c:numCache>
              </c:numRef>
            </c:plus>
            <c:minus>
              <c:numRef>
                <c:f>'Quisqualis indica Shoot'!$F$23:$F$27</c:f>
                <c:numCache>
                  <c:formatCode>General</c:formatCode>
                  <c:ptCount val="5"/>
                  <c:pt idx="0">
                    <c:v>0.81</c:v>
                  </c:pt>
                  <c:pt idx="1">
                    <c:v>0.87</c:v>
                  </c:pt>
                  <c:pt idx="2">
                    <c:v>1.72</c:v>
                  </c:pt>
                  <c:pt idx="3">
                    <c:v>0.83</c:v>
                  </c:pt>
                  <c:pt idx="4">
                    <c:v>5.14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'Quisqualis indica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 Shoot'!$E$23:$E$27</c:f>
              <c:numCache>
                <c:formatCode>General</c:formatCode>
                <c:ptCount val="5"/>
                <c:pt idx="0">
                  <c:v>16.76</c:v>
                </c:pt>
                <c:pt idx="1">
                  <c:v>17.02</c:v>
                </c:pt>
                <c:pt idx="2">
                  <c:v>9.14</c:v>
                </c:pt>
                <c:pt idx="3">
                  <c:v>6.14</c:v>
                </c:pt>
                <c:pt idx="4">
                  <c:v>11.8</c:v>
                </c:pt>
              </c:numCache>
            </c:numRef>
          </c:val>
        </c:ser>
        <c:ser>
          <c:idx val="2"/>
          <c:order val="2"/>
          <c:tx>
            <c:strRef>
              <c:f>'Quisqualis indica Shoot'!$G$21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'Quisqualis indica Shoot'!$H$23:$H$27</c:f>
                <c:numCache>
                  <c:formatCode>General</c:formatCode>
                  <c:ptCount val="5"/>
                  <c:pt idx="0">
                    <c:v>0.82</c:v>
                  </c:pt>
                  <c:pt idx="1">
                    <c:v>0.57</c:v>
                  </c:pt>
                  <c:pt idx="2">
                    <c:v>1.69</c:v>
                  </c:pt>
                  <c:pt idx="3">
                    <c:v>3.67</c:v>
                  </c:pt>
                  <c:pt idx="4">
                    <c:v>3.78</c:v>
                  </c:pt>
                </c:numCache>
              </c:numRef>
            </c:plus>
            <c:minus>
              <c:numRef>
                <c:f>'Quisqualis indica Shoot'!$H$23:$H$27</c:f>
                <c:numCache>
                  <c:formatCode>General</c:formatCode>
                  <c:ptCount val="5"/>
                  <c:pt idx="0">
                    <c:v>0.82</c:v>
                  </c:pt>
                  <c:pt idx="1">
                    <c:v>0.57</c:v>
                  </c:pt>
                  <c:pt idx="2">
                    <c:v>1.69</c:v>
                  </c:pt>
                  <c:pt idx="3">
                    <c:v>3.67</c:v>
                  </c:pt>
                  <c:pt idx="4">
                    <c:v>3.78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'Quisqualis indica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 Shoot'!$G$23:$G$27</c:f>
              <c:numCache>
                <c:formatCode>General</c:formatCode>
                <c:ptCount val="5"/>
                <c:pt idx="0">
                  <c:v>19.9</c:v>
                </c:pt>
                <c:pt idx="1">
                  <c:v>20.8</c:v>
                </c:pt>
                <c:pt idx="2">
                  <c:v>14.28</c:v>
                </c:pt>
                <c:pt idx="3">
                  <c:v>11.44</c:v>
                </c:pt>
                <c:pt idx="4">
                  <c:v>15.87</c:v>
                </c:pt>
              </c:numCache>
            </c:numRef>
          </c:val>
        </c:ser>
        <c:gapWidth val="219"/>
        <c:overlap val="-27"/>
        <c:axId val="23894226"/>
        <c:axId val="43671755"/>
      </c:barChart>
      <c:catAx>
        <c:axId val="238942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3671755"/>
        <c:crosses val="autoZero"/>
        <c:auto val="1"/>
        <c:lblAlgn val="ctr"/>
        <c:lblOffset val="100"/>
        <c:noMultiLvlLbl val="0"/>
      </c:catAx>
      <c:valAx>
        <c:axId val="4367175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Shoot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389422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Ludwigia peruviana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'Ludwigia peruviana Shoot'!$C$21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'Ludwigia peruviana Shoot'!$D$23:$D$27</c:f>
                <c:numCache>
                  <c:formatCode>General</c:formatCode>
                  <c:ptCount val="5"/>
                  <c:pt idx="0">
                    <c:v>1.26</c:v>
                  </c:pt>
                  <c:pt idx="1">
                    <c:v>1.09</c:v>
                  </c:pt>
                  <c:pt idx="2">
                    <c:v>1.67</c:v>
                  </c:pt>
                  <c:pt idx="3">
                    <c:v>0.56</c:v>
                  </c:pt>
                  <c:pt idx="4">
                    <c:v>2.49</c:v>
                  </c:pt>
                </c:numCache>
              </c:numRef>
            </c:plus>
            <c:minus>
              <c:numRef>
                <c:f>'Ludwigia peruviana Shoot'!$D$23:$D$27</c:f>
                <c:numCache>
                  <c:formatCode>General</c:formatCode>
                  <c:ptCount val="5"/>
                  <c:pt idx="0">
                    <c:v>1.26</c:v>
                  </c:pt>
                  <c:pt idx="1">
                    <c:v>1.09</c:v>
                  </c:pt>
                  <c:pt idx="2">
                    <c:v>1.67</c:v>
                  </c:pt>
                  <c:pt idx="3">
                    <c:v>0.56</c:v>
                  </c:pt>
                  <c:pt idx="4">
                    <c:v>2.49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'Ludwigia peruviana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 Shoot'!$C$23:$C$27</c:f>
              <c:numCache>
                <c:formatCode>General</c:formatCode>
                <c:ptCount val="5"/>
                <c:pt idx="0">
                  <c:v>10.32</c:v>
                </c:pt>
                <c:pt idx="1">
                  <c:v>9.64</c:v>
                </c:pt>
                <c:pt idx="2">
                  <c:v>6.58</c:v>
                </c:pt>
                <c:pt idx="3">
                  <c:v>1.9</c:v>
                </c:pt>
                <c:pt idx="4">
                  <c:v>7.6125</c:v>
                </c:pt>
              </c:numCache>
            </c:numRef>
          </c:val>
        </c:ser>
        <c:ser>
          <c:idx val="1"/>
          <c:order val="1"/>
          <c:tx>
            <c:strRef>
              <c:f>'Ludwigia peruviana Shoot'!$E$21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'Ludwigia peruviana Shoot'!$F$23:$F$27</c:f>
                <c:numCache>
                  <c:formatCode>General</c:formatCode>
                  <c:ptCount val="5"/>
                  <c:pt idx="0">
                    <c:v>0.96</c:v>
                  </c:pt>
                  <c:pt idx="1">
                    <c:v>0.48</c:v>
                  </c:pt>
                  <c:pt idx="2">
                    <c:v>1.52</c:v>
                  </c:pt>
                  <c:pt idx="3">
                    <c:v>2.13</c:v>
                  </c:pt>
                  <c:pt idx="4">
                    <c:v>5.14</c:v>
                  </c:pt>
                </c:numCache>
              </c:numRef>
            </c:plus>
            <c:minus>
              <c:numRef>
                <c:f>'Ludwigia peruviana Shoot'!$F$23:$F$27</c:f>
                <c:numCache>
                  <c:formatCode>General</c:formatCode>
                  <c:ptCount val="5"/>
                  <c:pt idx="0">
                    <c:v>0.96</c:v>
                  </c:pt>
                  <c:pt idx="1">
                    <c:v>0.48</c:v>
                  </c:pt>
                  <c:pt idx="2">
                    <c:v>1.52</c:v>
                  </c:pt>
                  <c:pt idx="3">
                    <c:v>2.13</c:v>
                  </c:pt>
                  <c:pt idx="4">
                    <c:v>5.14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'Ludwigia peruviana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 Shoot'!$E$23:$E$27</c:f>
              <c:numCache>
                <c:formatCode>General</c:formatCode>
                <c:ptCount val="5"/>
                <c:pt idx="0">
                  <c:v>17.6</c:v>
                </c:pt>
                <c:pt idx="1">
                  <c:v>17.24</c:v>
                </c:pt>
                <c:pt idx="2">
                  <c:v>8.78</c:v>
                </c:pt>
                <c:pt idx="3">
                  <c:v>3.1</c:v>
                </c:pt>
                <c:pt idx="4">
                  <c:v>11.8</c:v>
                </c:pt>
              </c:numCache>
            </c:numRef>
          </c:val>
        </c:ser>
        <c:ser>
          <c:idx val="2"/>
          <c:order val="2"/>
          <c:tx>
            <c:strRef>
              <c:f>'Ludwigia peruviana Shoot'!$G$21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'Ludwigia peruviana Shoot'!$H$23:$H$27</c:f>
                <c:numCache>
                  <c:formatCode>General</c:formatCode>
                  <c:ptCount val="5"/>
                  <c:pt idx="0">
                    <c:v>0.51</c:v>
                  </c:pt>
                  <c:pt idx="1">
                    <c:v>1.9</c:v>
                  </c:pt>
                  <c:pt idx="2">
                    <c:v>1.92</c:v>
                  </c:pt>
                  <c:pt idx="3">
                    <c:v>2.83</c:v>
                  </c:pt>
                  <c:pt idx="4">
                    <c:v>3.78</c:v>
                  </c:pt>
                </c:numCache>
              </c:numRef>
            </c:plus>
            <c:minus>
              <c:numRef>
                <c:f>'Ludwigia peruviana Shoot'!$H$23:$H$27</c:f>
                <c:numCache>
                  <c:formatCode>General</c:formatCode>
                  <c:ptCount val="5"/>
                  <c:pt idx="0">
                    <c:v>0.51</c:v>
                  </c:pt>
                  <c:pt idx="1">
                    <c:v>1.9</c:v>
                  </c:pt>
                  <c:pt idx="2">
                    <c:v>1.92</c:v>
                  </c:pt>
                  <c:pt idx="3">
                    <c:v>2.83</c:v>
                  </c:pt>
                  <c:pt idx="4">
                    <c:v>3.78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'Ludwigia peruviana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 Shoot'!$G$23:$G$27</c:f>
              <c:numCache>
                <c:formatCode>General</c:formatCode>
                <c:ptCount val="5"/>
                <c:pt idx="0">
                  <c:v>21.32</c:v>
                </c:pt>
                <c:pt idx="1">
                  <c:v>18.82</c:v>
                </c:pt>
                <c:pt idx="2">
                  <c:v>12.96</c:v>
                </c:pt>
                <c:pt idx="3">
                  <c:v>7.54</c:v>
                </c:pt>
                <c:pt idx="4">
                  <c:v>15.87</c:v>
                </c:pt>
              </c:numCache>
            </c:numRef>
          </c:val>
        </c:ser>
        <c:gapWidth val="219"/>
        <c:overlap val="-27"/>
        <c:axId val="82420985"/>
        <c:axId val="83215687"/>
      </c:barChart>
      <c:catAx>
        <c:axId val="8242098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3215687"/>
        <c:crosses val="autoZero"/>
        <c:auto val="1"/>
        <c:lblAlgn val="ctr"/>
        <c:lblOffset val="100"/>
        <c:noMultiLvlLbl val="0"/>
      </c:catAx>
      <c:valAx>
        <c:axId val="8321568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Shoot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242098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Cyclosorus interruptus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'Cyclosorus interruptus Shoot'!$C$21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'Cyclosorus interruptus Shoot'!$D$23:$D$27</c:f>
                <c:numCache>
                  <c:formatCode>General</c:formatCode>
                  <c:ptCount val="5"/>
                  <c:pt idx="0">
                    <c:v>0.95</c:v>
                  </c:pt>
                  <c:pt idx="1">
                    <c:v>0.75</c:v>
                  </c:pt>
                  <c:pt idx="2">
                    <c:v>4.56</c:v>
                  </c:pt>
                  <c:pt idx="3">
                    <c:v>2.79</c:v>
                  </c:pt>
                  <c:pt idx="4">
                    <c:v>2.49</c:v>
                  </c:pt>
                </c:numCache>
              </c:numRef>
            </c:plus>
            <c:minus>
              <c:numRef>
                <c:f>'Cyclosorus interruptus Shoot'!$D$23:$D$27</c:f>
                <c:numCache>
                  <c:formatCode>General</c:formatCode>
                  <c:ptCount val="5"/>
                  <c:pt idx="0">
                    <c:v>0.95</c:v>
                  </c:pt>
                  <c:pt idx="1">
                    <c:v>0.75</c:v>
                  </c:pt>
                  <c:pt idx="2">
                    <c:v>4.56</c:v>
                  </c:pt>
                  <c:pt idx="3">
                    <c:v>2.79</c:v>
                  </c:pt>
                  <c:pt idx="4">
                    <c:v>2.49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'Cyclosorus interruptus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 Shoot'!$C$23:$C$27</c:f>
              <c:numCache>
                <c:formatCode>General</c:formatCode>
                <c:ptCount val="5"/>
                <c:pt idx="0">
                  <c:v>9.88</c:v>
                </c:pt>
                <c:pt idx="1">
                  <c:v>9.42</c:v>
                </c:pt>
                <c:pt idx="2">
                  <c:v>3.93</c:v>
                </c:pt>
                <c:pt idx="3">
                  <c:v>3.6</c:v>
                </c:pt>
                <c:pt idx="4">
                  <c:v>7.6125</c:v>
                </c:pt>
              </c:numCache>
            </c:numRef>
          </c:val>
        </c:ser>
        <c:ser>
          <c:idx val="1"/>
          <c:order val="1"/>
          <c:tx>
            <c:strRef>
              <c:f>'Cyclosorus interruptus Shoot'!$E$21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'Cyclosorus interruptus Shoot'!$F$23:$F$27</c:f>
                <c:numCache>
                  <c:formatCode>General</c:formatCode>
                  <c:ptCount val="5"/>
                  <c:pt idx="0">
                    <c:v>1.52</c:v>
                  </c:pt>
                  <c:pt idx="1">
                    <c:v>1.08</c:v>
                  </c:pt>
                  <c:pt idx="2">
                    <c:v>3.63</c:v>
                  </c:pt>
                  <c:pt idx="3">
                    <c:v>3.03</c:v>
                  </c:pt>
                  <c:pt idx="4">
                    <c:v>5.14</c:v>
                  </c:pt>
                </c:numCache>
              </c:numRef>
            </c:plus>
            <c:minus>
              <c:numRef>
                <c:f>'Cyclosorus interruptus Shoot'!$F$23:$F$27</c:f>
                <c:numCache>
                  <c:formatCode>General</c:formatCode>
                  <c:ptCount val="5"/>
                  <c:pt idx="0">
                    <c:v>1.52</c:v>
                  </c:pt>
                  <c:pt idx="1">
                    <c:v>1.08</c:v>
                  </c:pt>
                  <c:pt idx="2">
                    <c:v>3.63</c:v>
                  </c:pt>
                  <c:pt idx="3">
                    <c:v>3.03</c:v>
                  </c:pt>
                  <c:pt idx="4">
                    <c:v>5.14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'Cyclosorus interruptus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 Shoot'!$E$23:$E$27</c:f>
              <c:numCache>
                <c:formatCode>General</c:formatCode>
                <c:ptCount val="5"/>
                <c:pt idx="0">
                  <c:v>17.1</c:v>
                </c:pt>
                <c:pt idx="1">
                  <c:v>15.6</c:v>
                </c:pt>
                <c:pt idx="2">
                  <c:v>4.16</c:v>
                </c:pt>
                <c:pt idx="3">
                  <c:v>4.65</c:v>
                </c:pt>
                <c:pt idx="4">
                  <c:v>11.8</c:v>
                </c:pt>
              </c:numCache>
            </c:numRef>
          </c:val>
        </c:ser>
        <c:ser>
          <c:idx val="2"/>
          <c:order val="2"/>
          <c:tx>
            <c:strRef>
              <c:f>'Cyclosorus interruptus Shoot'!$G$21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'Cyclosorus interruptus Shoot'!$H$23:$H$27</c:f>
                <c:numCache>
                  <c:formatCode>General</c:formatCode>
                  <c:ptCount val="5"/>
                  <c:pt idx="0">
                    <c:v>1.15</c:v>
                  </c:pt>
                  <c:pt idx="1">
                    <c:v>0.45</c:v>
                  </c:pt>
                  <c:pt idx="2">
                    <c:v>2.36</c:v>
                  </c:pt>
                  <c:pt idx="3">
                    <c:v>4.14</c:v>
                  </c:pt>
                  <c:pt idx="4">
                    <c:v>3.78</c:v>
                  </c:pt>
                </c:numCache>
              </c:numRef>
            </c:plus>
            <c:minus>
              <c:numRef>
                <c:f>'Cyclosorus interruptus Shoot'!$H$23:$H$27</c:f>
                <c:numCache>
                  <c:formatCode>General</c:formatCode>
                  <c:ptCount val="5"/>
                  <c:pt idx="0">
                    <c:v>1.15</c:v>
                  </c:pt>
                  <c:pt idx="1">
                    <c:v>0.45</c:v>
                  </c:pt>
                  <c:pt idx="2">
                    <c:v>2.36</c:v>
                  </c:pt>
                  <c:pt idx="3">
                    <c:v>4.14</c:v>
                  </c:pt>
                  <c:pt idx="4">
                    <c:v>3.78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'Cyclosorus interruptus Shoot'!$B$23:$B$27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 Shoot'!$G$23:$G$27</c:f>
              <c:numCache>
                <c:formatCode>General</c:formatCode>
                <c:ptCount val="5"/>
                <c:pt idx="0">
                  <c:v>18.8</c:v>
                </c:pt>
                <c:pt idx="1">
                  <c:v>19.2</c:v>
                </c:pt>
                <c:pt idx="2">
                  <c:v>9.26</c:v>
                </c:pt>
                <c:pt idx="3">
                  <c:v>7.76</c:v>
                </c:pt>
                <c:pt idx="4">
                  <c:v>15.87</c:v>
                </c:pt>
              </c:numCache>
            </c:numRef>
          </c:val>
        </c:ser>
        <c:gapWidth val="219"/>
        <c:overlap val="-27"/>
        <c:axId val="50660082"/>
        <c:axId val="76420825"/>
      </c:barChart>
      <c:catAx>
        <c:axId val="506600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6420825"/>
        <c:crosses val="autoZero"/>
        <c:auto val="1"/>
        <c:lblAlgn val="ctr"/>
        <c:lblOffset val="100"/>
        <c:noMultiLvlLbl val="0"/>
      </c:catAx>
      <c:valAx>
        <c:axId val="7642082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Shoot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066008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Acrostichum aureum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'Acrostichum root (Pea)'!$C$9:$D$9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'Acrostichum root (Pea)'!$D$11:$D$15</c:f>
                <c:numCache>
                  <c:formatCode>General</c:formatCode>
                  <c:ptCount val="5"/>
                  <c:pt idx="0">
                    <c:v>1.29</c:v>
                  </c:pt>
                  <c:pt idx="1">
                    <c:v>1.88</c:v>
                  </c:pt>
                  <c:pt idx="2">
                    <c:v>1.33</c:v>
                  </c:pt>
                  <c:pt idx="3">
                    <c:v>3.22</c:v>
                  </c:pt>
                  <c:pt idx="4">
                    <c:v>2.75</c:v>
                  </c:pt>
                </c:numCache>
              </c:numRef>
            </c:plus>
            <c:minus>
              <c:numRef>
                <c:f>'Acrostichum root (Pea)'!$D$11:$D$15</c:f>
                <c:numCache>
                  <c:formatCode>General</c:formatCode>
                  <c:ptCount val="5"/>
                  <c:pt idx="0">
                    <c:v>1.29</c:v>
                  </c:pt>
                  <c:pt idx="1">
                    <c:v>1.88</c:v>
                  </c:pt>
                  <c:pt idx="2">
                    <c:v>1.33</c:v>
                  </c:pt>
                  <c:pt idx="3">
                    <c:v>3.22</c:v>
                  </c:pt>
                  <c:pt idx="4">
                    <c:v>2.75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'Acrostichum root (Pea)'!$B$11:$B$15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root (Pea)'!$C$11:$C$15</c:f>
              <c:numCache>
                <c:formatCode>General</c:formatCode>
                <c:ptCount val="5"/>
                <c:pt idx="0">
                  <c:v>14</c:v>
                </c:pt>
                <c:pt idx="1">
                  <c:v>15.64</c:v>
                </c:pt>
                <c:pt idx="2">
                  <c:v>19.08</c:v>
                </c:pt>
                <c:pt idx="3">
                  <c:v>13.76</c:v>
                </c:pt>
                <c:pt idx="4">
                  <c:v>12.48</c:v>
                </c:pt>
              </c:numCache>
            </c:numRef>
          </c:val>
        </c:ser>
        <c:gapWidth val="219"/>
        <c:overlap val="-27"/>
        <c:axId val="53210557"/>
        <c:axId val="36944614"/>
      </c:barChart>
      <c:catAx>
        <c:axId val="532105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6944614"/>
        <c:crosses val="autoZero"/>
        <c:auto val="1"/>
        <c:lblAlgn val="ctr"/>
        <c:lblOffset val="100"/>
        <c:noMultiLvlLbl val="0"/>
      </c:catAx>
      <c:valAx>
        <c:axId val="3694461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RootLength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321055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Quisqualis indica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'Quisqualis root (Pea)'!$C$9:$D$9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'Quisqualis root (Pea)'!$D$11:$D$15</c:f>
                <c:numCache>
                  <c:formatCode>General</c:formatCode>
                  <c:ptCount val="5"/>
                  <c:pt idx="0">
                    <c:v>1.78</c:v>
                  </c:pt>
                  <c:pt idx="1">
                    <c:v>1.97</c:v>
                  </c:pt>
                  <c:pt idx="2">
                    <c:v>3.33</c:v>
                  </c:pt>
                  <c:pt idx="3">
                    <c:v>1.14</c:v>
                  </c:pt>
                  <c:pt idx="4">
                    <c:v>2.75</c:v>
                  </c:pt>
                </c:numCache>
              </c:numRef>
            </c:plus>
            <c:minus>
              <c:numRef>
                <c:f>'Quisqualis root (Pea)'!$D$11:$D$15</c:f>
                <c:numCache>
                  <c:formatCode>General</c:formatCode>
                  <c:ptCount val="5"/>
                  <c:pt idx="0">
                    <c:v>1.78</c:v>
                  </c:pt>
                  <c:pt idx="1">
                    <c:v>1.97</c:v>
                  </c:pt>
                  <c:pt idx="2">
                    <c:v>3.33</c:v>
                  </c:pt>
                  <c:pt idx="3">
                    <c:v>1.14</c:v>
                  </c:pt>
                  <c:pt idx="4">
                    <c:v>2.75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'Quisqualis root (Pea)'!$B$11:$B$15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root (Pea)'!$C$11:$C$15</c:f>
              <c:numCache>
                <c:formatCode>General</c:formatCode>
                <c:ptCount val="5"/>
                <c:pt idx="0">
                  <c:v>14.1</c:v>
                </c:pt>
                <c:pt idx="1">
                  <c:v>14</c:v>
                </c:pt>
                <c:pt idx="2">
                  <c:v>14.68</c:v>
                </c:pt>
                <c:pt idx="3">
                  <c:v>7.76</c:v>
                </c:pt>
                <c:pt idx="4">
                  <c:v>12.48</c:v>
                </c:pt>
              </c:numCache>
            </c:numRef>
          </c:val>
        </c:ser>
        <c:gapWidth val="219"/>
        <c:overlap val="-27"/>
        <c:axId val="5495292"/>
        <c:axId val="96498255"/>
      </c:barChart>
      <c:catAx>
        <c:axId val="54952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6498255"/>
        <c:crosses val="autoZero"/>
        <c:auto val="1"/>
        <c:lblAlgn val="ctr"/>
        <c:lblOffset val="100"/>
        <c:noMultiLvlLbl val="0"/>
      </c:catAx>
      <c:valAx>
        <c:axId val="9649825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RootLength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4952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Ludwigia peruviana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'Ludwegia root (Pea) '!$C$9:$D$9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'Ludwegia root (Pea) '!$D$11:$D$15</c:f>
                <c:numCache>
                  <c:formatCode>General</c:formatCode>
                  <c:ptCount val="5"/>
                  <c:pt idx="0">
                    <c:v>1.39</c:v>
                  </c:pt>
                  <c:pt idx="1">
                    <c:v>1.75</c:v>
                  </c:pt>
                  <c:pt idx="2">
                    <c:v>5.57</c:v>
                  </c:pt>
                  <c:pt idx="3">
                    <c:v>1.57</c:v>
                  </c:pt>
                  <c:pt idx="4">
                    <c:v>2.75</c:v>
                  </c:pt>
                </c:numCache>
              </c:numRef>
            </c:plus>
            <c:minus>
              <c:numRef>
                <c:f>'Ludwegia root (Pea) '!$D$11:$D$15</c:f>
                <c:numCache>
                  <c:formatCode>General</c:formatCode>
                  <c:ptCount val="5"/>
                  <c:pt idx="0">
                    <c:v>1.39</c:v>
                  </c:pt>
                  <c:pt idx="1">
                    <c:v>1.75</c:v>
                  </c:pt>
                  <c:pt idx="2">
                    <c:v>5.57</c:v>
                  </c:pt>
                  <c:pt idx="3">
                    <c:v>1.57</c:v>
                  </c:pt>
                  <c:pt idx="4">
                    <c:v>2.75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'Ludwegia root (Pea)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'Ludwegia root (Pea) '!$C$11:$C$15</c:f>
              <c:numCache>
                <c:formatCode>General</c:formatCode>
                <c:ptCount val="5"/>
                <c:pt idx="0">
                  <c:v>15.24</c:v>
                </c:pt>
                <c:pt idx="1">
                  <c:v>15.08</c:v>
                </c:pt>
                <c:pt idx="2">
                  <c:v>15.3</c:v>
                </c:pt>
                <c:pt idx="3">
                  <c:v>12.1</c:v>
                </c:pt>
                <c:pt idx="4">
                  <c:v>12.48</c:v>
                </c:pt>
              </c:numCache>
            </c:numRef>
          </c:val>
        </c:ser>
        <c:gapWidth val="219"/>
        <c:overlap val="-27"/>
        <c:axId val="48004325"/>
        <c:axId val="56086116"/>
      </c:barChart>
      <c:catAx>
        <c:axId val="4800432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6086116"/>
        <c:crosses val="autoZero"/>
        <c:auto val="1"/>
        <c:lblAlgn val="ctr"/>
        <c:lblOffset val="100"/>
        <c:noMultiLvlLbl val="0"/>
      </c:catAx>
      <c:valAx>
        <c:axId val="560861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RootLength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80043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Cyclosorus interruptus
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'Cyclosorus root (Pea) '!$C$9:$D$9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'Cyclosorus root (Pea) '!$D$11:$D$15</c:f>
                <c:numCache>
                  <c:formatCode>General</c:formatCode>
                  <c:ptCount val="5"/>
                  <c:pt idx="0">
                    <c:v>0.82</c:v>
                  </c:pt>
                  <c:pt idx="1">
                    <c:v>0.91</c:v>
                  </c:pt>
                  <c:pt idx="2">
                    <c:v>3.89</c:v>
                  </c:pt>
                  <c:pt idx="3">
                    <c:v>4.59</c:v>
                  </c:pt>
                  <c:pt idx="4">
                    <c:v>2.75</c:v>
                  </c:pt>
                </c:numCache>
              </c:numRef>
            </c:plus>
            <c:minus>
              <c:numRef>
                <c:f>'Cyclosorus root (Pea) '!$D$11:$D$15</c:f>
                <c:numCache>
                  <c:formatCode>General</c:formatCode>
                  <c:ptCount val="5"/>
                  <c:pt idx="0">
                    <c:v>0.82</c:v>
                  </c:pt>
                  <c:pt idx="1">
                    <c:v>0.91</c:v>
                  </c:pt>
                  <c:pt idx="2">
                    <c:v>3.89</c:v>
                  </c:pt>
                  <c:pt idx="3">
                    <c:v>4.59</c:v>
                  </c:pt>
                  <c:pt idx="4">
                    <c:v>2.75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'Cyclosorus root (Pea)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root (Pea) '!$C$11:$C$15</c:f>
              <c:numCache>
                <c:formatCode>General</c:formatCode>
                <c:ptCount val="5"/>
                <c:pt idx="0">
                  <c:v>13.9</c:v>
                </c:pt>
                <c:pt idx="1">
                  <c:v>13.2</c:v>
                </c:pt>
                <c:pt idx="2">
                  <c:v>14.72</c:v>
                </c:pt>
                <c:pt idx="3">
                  <c:v>11.68</c:v>
                </c:pt>
                <c:pt idx="4">
                  <c:v>12.48</c:v>
                </c:pt>
              </c:numCache>
            </c:numRef>
          </c:val>
        </c:ser>
        <c:gapWidth val="219"/>
        <c:overlap val="-27"/>
        <c:axId val="66090338"/>
        <c:axId val="81409161"/>
      </c:barChart>
      <c:catAx>
        <c:axId val="660903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1409161"/>
        <c:crosses val="autoZero"/>
        <c:auto val="1"/>
        <c:lblAlgn val="ctr"/>
        <c:lblOffset val="100"/>
        <c:noMultiLvlLbl val="0"/>
      </c:catAx>
      <c:valAx>
        <c:axId val="8140916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RootLength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609033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Cyclosorus interruptus
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'Cyclosorus TL (Pea)  '!$C$9:$D$9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'Cyclosorus TL (Pea)  '!$D$11:$D$15</c:f>
                <c:numCache>
                  <c:formatCode>General</c:formatCode>
                  <c:ptCount val="5"/>
                  <c:pt idx="0">
                    <c:v>1.15</c:v>
                  </c:pt>
                  <c:pt idx="1">
                    <c:v>0.82</c:v>
                  </c:pt>
                  <c:pt idx="2">
                    <c:v>6.32</c:v>
                  </c:pt>
                  <c:pt idx="3">
                    <c:v>6.73</c:v>
                  </c:pt>
                  <c:pt idx="4">
                    <c:v>5.98</c:v>
                  </c:pt>
                </c:numCache>
              </c:numRef>
            </c:plus>
            <c:minus>
              <c:numRef>
                <c:f>'Cyclosorus TL (Pea)  '!$D$11:$D$15</c:f>
                <c:numCache>
                  <c:formatCode>General</c:formatCode>
                  <c:ptCount val="5"/>
                  <c:pt idx="0">
                    <c:v>1.15</c:v>
                  </c:pt>
                  <c:pt idx="1">
                    <c:v>0.82</c:v>
                  </c:pt>
                  <c:pt idx="2">
                    <c:v>6.32</c:v>
                  </c:pt>
                  <c:pt idx="3">
                    <c:v>6.73</c:v>
                  </c:pt>
                  <c:pt idx="4">
                    <c:v>5.98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'Cyclosorus TL (Pea) 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TL (Pea)  '!$C$11:$C$15</c:f>
              <c:numCache>
                <c:formatCode>General</c:formatCode>
                <c:ptCount val="5"/>
                <c:pt idx="0">
                  <c:v>34.2</c:v>
                </c:pt>
                <c:pt idx="1">
                  <c:v>33.9</c:v>
                </c:pt>
                <c:pt idx="2">
                  <c:v>24.5</c:v>
                </c:pt>
                <c:pt idx="3">
                  <c:v>22.2</c:v>
                </c:pt>
                <c:pt idx="4">
                  <c:v>29.18</c:v>
                </c:pt>
              </c:numCache>
            </c:numRef>
          </c:val>
        </c:ser>
        <c:gapWidth val="219"/>
        <c:overlap val="-27"/>
        <c:axId val="55984400"/>
        <c:axId val="82222495"/>
      </c:barChart>
      <c:catAx>
        <c:axId val="5598440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2222495"/>
        <c:crosses val="autoZero"/>
        <c:auto val="1"/>
        <c:lblAlgn val="ctr"/>
        <c:lblOffset val="100"/>
        <c:noMultiLvlLbl val="0"/>
      </c:catAx>
      <c:valAx>
        <c:axId val="8222249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Total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598440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Ludwigia peruviana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'Ludwegia TL(Pea) '!$C$9:$D$9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'Ludwegia TL(Pea) '!$D$11:$D$15</c:f>
                <c:numCache>
                  <c:formatCode>General</c:formatCode>
                  <c:ptCount val="5"/>
                  <c:pt idx="0">
                    <c:v>1</c:v>
                  </c:pt>
                  <c:pt idx="1">
                    <c:v>3.87</c:v>
                  </c:pt>
                  <c:pt idx="2">
                    <c:v>6.35</c:v>
                  </c:pt>
                  <c:pt idx="3">
                    <c:v>3.36</c:v>
                  </c:pt>
                  <c:pt idx="4">
                    <c:v>5.98</c:v>
                  </c:pt>
                </c:numCache>
              </c:numRef>
            </c:plus>
            <c:minus>
              <c:numRef>
                <c:f>'Ludwegia TL(Pea) '!$D$11:$D$15</c:f>
                <c:numCache>
                  <c:formatCode>General</c:formatCode>
                  <c:ptCount val="5"/>
                  <c:pt idx="0">
                    <c:v>1</c:v>
                  </c:pt>
                  <c:pt idx="1">
                    <c:v>3.87</c:v>
                  </c:pt>
                  <c:pt idx="2">
                    <c:v>6.35</c:v>
                  </c:pt>
                  <c:pt idx="3">
                    <c:v>3.36</c:v>
                  </c:pt>
                  <c:pt idx="4">
                    <c:v>5.98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'Ludwegia TL(Pea)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'Ludwegia TL(Pea) '!$C$11:$C$15</c:f>
              <c:numCache>
                <c:formatCode>General</c:formatCode>
                <c:ptCount val="5"/>
                <c:pt idx="0">
                  <c:v>38</c:v>
                </c:pt>
                <c:pt idx="1">
                  <c:v>35.2</c:v>
                </c:pt>
                <c:pt idx="2">
                  <c:v>30.02</c:v>
                </c:pt>
                <c:pt idx="3">
                  <c:v>19.5</c:v>
                </c:pt>
                <c:pt idx="4">
                  <c:v>29.18</c:v>
                </c:pt>
              </c:numCache>
            </c:numRef>
          </c:val>
        </c:ser>
        <c:gapWidth val="219"/>
        <c:overlap val="-27"/>
        <c:axId val="96564178"/>
        <c:axId val="77274281"/>
      </c:barChart>
      <c:catAx>
        <c:axId val="965641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7274281"/>
        <c:crosses val="autoZero"/>
        <c:auto val="1"/>
        <c:lblAlgn val="ctr"/>
        <c:lblOffset val="100"/>
        <c:noMultiLvlLbl val="0"/>
      </c:catAx>
      <c:valAx>
        <c:axId val="7727428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Total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656417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Acrostichum aureum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'Acrostichum TL (Pea) '!$C$9:$D$9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'Acrostichum TL (Pea) '!$D$11:$D$15</c:f>
                <c:numCache>
                  <c:formatCode>General</c:formatCode>
                  <c:ptCount val="5"/>
                  <c:pt idx="0">
                    <c:v>2.12</c:v>
                  </c:pt>
                  <c:pt idx="1">
                    <c:v>4.12</c:v>
                  </c:pt>
                  <c:pt idx="2">
                    <c:v>2.72</c:v>
                  </c:pt>
                  <c:pt idx="3">
                    <c:v>3.84</c:v>
                  </c:pt>
                  <c:pt idx="4">
                    <c:v>5.98</c:v>
                  </c:pt>
                </c:numCache>
              </c:numRef>
            </c:plus>
            <c:minus>
              <c:numRef>
                <c:f>'Acrostichum TL (Pea) '!$D$11:$D$15</c:f>
                <c:numCache>
                  <c:formatCode>General</c:formatCode>
                  <c:ptCount val="5"/>
                  <c:pt idx="0">
                    <c:v>2.12</c:v>
                  </c:pt>
                  <c:pt idx="1">
                    <c:v>4.12</c:v>
                  </c:pt>
                  <c:pt idx="2">
                    <c:v>2.72</c:v>
                  </c:pt>
                  <c:pt idx="3">
                    <c:v>3.84</c:v>
                  </c:pt>
                  <c:pt idx="4">
                    <c:v>5.98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'Acrostichum TL (Pea)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TL (Pea) '!$C$11:$C$15</c:f>
              <c:numCache>
                <c:formatCode>General</c:formatCode>
                <c:ptCount val="5"/>
                <c:pt idx="0">
                  <c:v>35.8</c:v>
                </c:pt>
                <c:pt idx="1">
                  <c:v>36.58</c:v>
                </c:pt>
                <c:pt idx="2">
                  <c:v>34.4</c:v>
                </c:pt>
                <c:pt idx="3">
                  <c:v>26.88</c:v>
                </c:pt>
                <c:pt idx="4">
                  <c:v>29.18</c:v>
                </c:pt>
              </c:numCache>
            </c:numRef>
          </c:val>
        </c:ser>
        <c:gapWidth val="219"/>
        <c:overlap val="-27"/>
        <c:axId val="4080177"/>
        <c:axId val="92412716"/>
      </c:barChart>
      <c:catAx>
        <c:axId val="40801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2412716"/>
        <c:crosses val="autoZero"/>
        <c:auto val="1"/>
        <c:lblAlgn val="ctr"/>
        <c:lblOffset val="100"/>
        <c:noMultiLvlLbl val="0"/>
      </c:catAx>
      <c:valAx>
        <c:axId val="924127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Total 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08017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Times New Roman"/>
              </a:rPr>
              <a:t>Quisqualis indica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'Quisqualis TL (Pea)'!$C$9:$D$9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'Quisqualis TL (Pea)'!$D$11:$D$15</c:f>
                <c:numCache>
                  <c:formatCode>General</c:formatCode>
                  <c:ptCount val="5"/>
                  <c:pt idx="0">
                    <c:v>1.73</c:v>
                  </c:pt>
                  <c:pt idx="1">
                    <c:v>2.51</c:v>
                  </c:pt>
                  <c:pt idx="2">
                    <c:v>4.72</c:v>
                  </c:pt>
                  <c:pt idx="3">
                    <c:v>3.05</c:v>
                  </c:pt>
                  <c:pt idx="4">
                    <c:v>5.98</c:v>
                  </c:pt>
                </c:numCache>
              </c:numRef>
            </c:plus>
            <c:minus>
              <c:numRef>
                <c:f>'Quisqualis TL (Pea)'!$D$11:$D$15</c:f>
                <c:numCache>
                  <c:formatCode>General</c:formatCode>
                  <c:ptCount val="5"/>
                  <c:pt idx="0">
                    <c:v>1.73</c:v>
                  </c:pt>
                  <c:pt idx="1">
                    <c:v>2.51</c:v>
                  </c:pt>
                  <c:pt idx="2">
                    <c:v>4.72</c:v>
                  </c:pt>
                  <c:pt idx="3">
                    <c:v>3.05</c:v>
                  </c:pt>
                  <c:pt idx="4">
                    <c:v>5.98</c:v>
                  </c:pt>
                </c:numCache>
              </c:numRef>
            </c:minus>
            <c:spPr>
              <a:ln w="15840">
                <a:solidFill>
                  <a:srgbClr val="000000"/>
                </a:solidFill>
                <a:round/>
              </a:ln>
            </c:spPr>
          </c:errBars>
          <c:cat>
            <c:strRef>
              <c:f>'Quisqualis TL (Pea)'!$B$11:$B$15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TL (Pea)'!$C$11:$C$15</c:f>
              <c:numCache>
                <c:formatCode>General</c:formatCode>
                <c:ptCount val="5"/>
                <c:pt idx="0">
                  <c:v>35.5</c:v>
                </c:pt>
                <c:pt idx="1">
                  <c:v>35.9</c:v>
                </c:pt>
                <c:pt idx="2">
                  <c:v>28.28</c:v>
                </c:pt>
                <c:pt idx="3">
                  <c:v>17.4</c:v>
                </c:pt>
                <c:pt idx="4">
                  <c:v>29.18</c:v>
                </c:pt>
              </c:numCache>
            </c:numRef>
          </c:val>
        </c:ser>
        <c:gapWidth val="219"/>
        <c:overlap val="-27"/>
        <c:axId val="67802468"/>
        <c:axId val="58718469"/>
      </c:barChart>
      <c:catAx>
        <c:axId val="678024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Biochar 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8718469"/>
        <c:crosses val="autoZero"/>
        <c:auto val="1"/>
        <c:lblAlgn val="ctr"/>
        <c:lblOffset val="100"/>
        <c:noMultiLvlLbl val="0"/>
      </c:catAx>
      <c:valAx>
        <c:axId val="5871846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200" spc="-1" strike="noStrike">
                    <a:solidFill>
                      <a:srgbClr val="595959"/>
                    </a:solidFill>
                    <a:latin typeface="Times New Roman"/>
                  </a:defRPr>
                </a:pPr>
                <a:r>
                  <a:rPr b="0" lang="en-US" sz="1200" spc="-1" strike="noStrike">
                    <a:solidFill>
                      <a:srgbClr val="595959"/>
                    </a:solidFill>
                    <a:latin typeface="Times New Roman"/>
                  </a:rPr>
                  <a:t>RootLength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780246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107640</xdr:colOff>
      <xdr:row>0</xdr:row>
      <xdr:rowOff>87480</xdr:rowOff>
    </xdr:from>
    <xdr:to>
      <xdr:col>21</xdr:col>
      <xdr:colOff>96120</xdr:colOff>
      <xdr:row>22</xdr:row>
      <xdr:rowOff>123120</xdr:rowOff>
    </xdr:to>
    <xdr:graphicFrame>
      <xdr:nvGraphicFramePr>
        <xdr:cNvPr id="0" name="Chart 1"/>
        <xdr:cNvGraphicFramePr/>
      </xdr:nvGraphicFramePr>
      <xdr:xfrm>
        <a:off x="11568240" y="87480"/>
        <a:ext cx="6836040" cy="3855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107640</xdr:colOff>
      <xdr:row>0</xdr:row>
      <xdr:rowOff>87480</xdr:rowOff>
    </xdr:from>
    <xdr:to>
      <xdr:col>21</xdr:col>
      <xdr:colOff>96120</xdr:colOff>
      <xdr:row>22</xdr:row>
      <xdr:rowOff>123120</xdr:rowOff>
    </xdr:to>
    <xdr:graphicFrame>
      <xdr:nvGraphicFramePr>
        <xdr:cNvPr id="1" name="Chart 1"/>
        <xdr:cNvGraphicFramePr/>
      </xdr:nvGraphicFramePr>
      <xdr:xfrm>
        <a:off x="11490480" y="87480"/>
        <a:ext cx="6836400" cy="3855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107640</xdr:colOff>
      <xdr:row>0</xdr:row>
      <xdr:rowOff>87480</xdr:rowOff>
    </xdr:from>
    <xdr:to>
      <xdr:col>21</xdr:col>
      <xdr:colOff>96120</xdr:colOff>
      <xdr:row>22</xdr:row>
      <xdr:rowOff>123120</xdr:rowOff>
    </xdr:to>
    <xdr:graphicFrame>
      <xdr:nvGraphicFramePr>
        <xdr:cNvPr id="2" name="Chart 1"/>
        <xdr:cNvGraphicFramePr/>
      </xdr:nvGraphicFramePr>
      <xdr:xfrm>
        <a:off x="11490480" y="87480"/>
        <a:ext cx="6836400" cy="3836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107640</xdr:colOff>
      <xdr:row>0</xdr:row>
      <xdr:rowOff>87480</xdr:rowOff>
    </xdr:from>
    <xdr:to>
      <xdr:col>21</xdr:col>
      <xdr:colOff>96120</xdr:colOff>
      <xdr:row>22</xdr:row>
      <xdr:rowOff>123120</xdr:rowOff>
    </xdr:to>
    <xdr:graphicFrame>
      <xdr:nvGraphicFramePr>
        <xdr:cNvPr id="3" name="Chart 1"/>
        <xdr:cNvGraphicFramePr/>
      </xdr:nvGraphicFramePr>
      <xdr:xfrm>
        <a:off x="11490480" y="87480"/>
        <a:ext cx="6836400" cy="3836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545760</xdr:colOff>
      <xdr:row>1</xdr:row>
      <xdr:rowOff>122400</xdr:rowOff>
    </xdr:from>
    <xdr:to>
      <xdr:col>16</xdr:col>
      <xdr:colOff>534240</xdr:colOff>
      <xdr:row>24</xdr:row>
      <xdr:rowOff>166680</xdr:rowOff>
    </xdr:to>
    <xdr:graphicFrame>
      <xdr:nvGraphicFramePr>
        <xdr:cNvPr id="4" name="Chart 1"/>
        <xdr:cNvGraphicFramePr/>
      </xdr:nvGraphicFramePr>
      <xdr:xfrm>
        <a:off x="7648920" y="312840"/>
        <a:ext cx="6836400" cy="4244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449280</xdr:colOff>
      <xdr:row>0</xdr:row>
      <xdr:rowOff>183600</xdr:rowOff>
    </xdr:from>
    <xdr:to>
      <xdr:col>16</xdr:col>
      <xdr:colOff>437760</xdr:colOff>
      <xdr:row>24</xdr:row>
      <xdr:rowOff>35280</xdr:rowOff>
    </xdr:to>
    <xdr:graphicFrame>
      <xdr:nvGraphicFramePr>
        <xdr:cNvPr id="5" name="Chart 1"/>
        <xdr:cNvGraphicFramePr/>
      </xdr:nvGraphicFramePr>
      <xdr:xfrm>
        <a:off x="7552440" y="183600"/>
        <a:ext cx="6836400" cy="4242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440640</xdr:colOff>
      <xdr:row>0</xdr:row>
      <xdr:rowOff>183600</xdr:rowOff>
    </xdr:from>
    <xdr:to>
      <xdr:col>16</xdr:col>
      <xdr:colOff>429120</xdr:colOff>
      <xdr:row>24</xdr:row>
      <xdr:rowOff>35280</xdr:rowOff>
    </xdr:to>
    <xdr:graphicFrame>
      <xdr:nvGraphicFramePr>
        <xdr:cNvPr id="6" name="Chart 1"/>
        <xdr:cNvGraphicFramePr/>
      </xdr:nvGraphicFramePr>
      <xdr:xfrm>
        <a:off x="7543800" y="183600"/>
        <a:ext cx="6836400" cy="4242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388080</xdr:colOff>
      <xdr:row>0</xdr:row>
      <xdr:rowOff>157320</xdr:rowOff>
    </xdr:from>
    <xdr:to>
      <xdr:col>16</xdr:col>
      <xdr:colOff>376560</xdr:colOff>
      <xdr:row>24</xdr:row>
      <xdr:rowOff>9000</xdr:rowOff>
    </xdr:to>
    <xdr:graphicFrame>
      <xdr:nvGraphicFramePr>
        <xdr:cNvPr id="7" name="Chart 1"/>
        <xdr:cNvGraphicFramePr/>
      </xdr:nvGraphicFramePr>
      <xdr:xfrm>
        <a:off x="7491240" y="157320"/>
        <a:ext cx="6836400" cy="4242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3600</xdr:colOff>
      <xdr:row>7</xdr:row>
      <xdr:rowOff>111240</xdr:rowOff>
    </xdr:from>
    <xdr:to>
      <xdr:col>12</xdr:col>
      <xdr:colOff>654120</xdr:colOff>
      <xdr:row>19</xdr:row>
      <xdr:rowOff>58680</xdr:rowOff>
    </xdr:to>
    <xdr:graphicFrame>
      <xdr:nvGraphicFramePr>
        <xdr:cNvPr id="8" name="Chart 1"/>
        <xdr:cNvGraphicFramePr/>
      </xdr:nvGraphicFramePr>
      <xdr:xfrm>
        <a:off x="4661280" y="1339920"/>
        <a:ext cx="6642360" cy="2119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460800</xdr:colOff>
      <xdr:row>5</xdr:row>
      <xdr:rowOff>101880</xdr:rowOff>
    </xdr:from>
    <xdr:to>
      <xdr:col>12</xdr:col>
      <xdr:colOff>378000</xdr:colOff>
      <xdr:row>17</xdr:row>
      <xdr:rowOff>49320</xdr:rowOff>
    </xdr:to>
    <xdr:graphicFrame>
      <xdr:nvGraphicFramePr>
        <xdr:cNvPr id="9" name="Chart 1"/>
        <xdr:cNvGraphicFramePr/>
      </xdr:nvGraphicFramePr>
      <xdr:xfrm>
        <a:off x="4262400" y="997200"/>
        <a:ext cx="6765120" cy="206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3600</xdr:colOff>
      <xdr:row>7</xdr:row>
      <xdr:rowOff>111240</xdr:rowOff>
    </xdr:from>
    <xdr:to>
      <xdr:col>12</xdr:col>
      <xdr:colOff>654120</xdr:colOff>
      <xdr:row>19</xdr:row>
      <xdr:rowOff>58680</xdr:rowOff>
    </xdr:to>
    <xdr:graphicFrame>
      <xdr:nvGraphicFramePr>
        <xdr:cNvPr id="10" name="Chart 1"/>
        <xdr:cNvGraphicFramePr/>
      </xdr:nvGraphicFramePr>
      <xdr:xfrm>
        <a:off x="4661280" y="1378080"/>
        <a:ext cx="6642360" cy="2118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3600</xdr:colOff>
      <xdr:row>7</xdr:row>
      <xdr:rowOff>111240</xdr:rowOff>
    </xdr:from>
    <xdr:to>
      <xdr:col>12</xdr:col>
      <xdr:colOff>654120</xdr:colOff>
      <xdr:row>19</xdr:row>
      <xdr:rowOff>58680</xdr:rowOff>
    </xdr:to>
    <xdr:graphicFrame>
      <xdr:nvGraphicFramePr>
        <xdr:cNvPr id="11" name="Chart 1"/>
        <xdr:cNvGraphicFramePr/>
      </xdr:nvGraphicFramePr>
      <xdr:xfrm>
        <a:off x="4661280" y="1378080"/>
        <a:ext cx="6642360" cy="2109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108360</xdr:colOff>
      <xdr:row>6</xdr:row>
      <xdr:rowOff>63720</xdr:rowOff>
    </xdr:from>
    <xdr:to>
      <xdr:col>13</xdr:col>
      <xdr:colOff>25560</xdr:colOff>
      <xdr:row>18</xdr:row>
      <xdr:rowOff>1800</xdr:rowOff>
    </xdr:to>
    <xdr:graphicFrame>
      <xdr:nvGraphicFramePr>
        <xdr:cNvPr id="12" name="Chart 1"/>
        <xdr:cNvGraphicFramePr/>
      </xdr:nvGraphicFramePr>
      <xdr:xfrm>
        <a:off x="4766040" y="1101960"/>
        <a:ext cx="6765120" cy="2100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3600</xdr:colOff>
      <xdr:row>7</xdr:row>
      <xdr:rowOff>111240</xdr:rowOff>
    </xdr:from>
    <xdr:to>
      <xdr:col>12</xdr:col>
      <xdr:colOff>654120</xdr:colOff>
      <xdr:row>19</xdr:row>
      <xdr:rowOff>58680</xdr:rowOff>
    </xdr:to>
    <xdr:graphicFrame>
      <xdr:nvGraphicFramePr>
        <xdr:cNvPr id="13" name="Chart 1"/>
        <xdr:cNvGraphicFramePr/>
      </xdr:nvGraphicFramePr>
      <xdr:xfrm>
        <a:off x="4661280" y="1330560"/>
        <a:ext cx="6642360" cy="2109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317880</xdr:colOff>
      <xdr:row>5</xdr:row>
      <xdr:rowOff>159120</xdr:rowOff>
    </xdr:from>
    <xdr:to>
      <xdr:col>12</xdr:col>
      <xdr:colOff>235080</xdr:colOff>
      <xdr:row>17</xdr:row>
      <xdr:rowOff>106560</xdr:rowOff>
    </xdr:to>
    <xdr:graphicFrame>
      <xdr:nvGraphicFramePr>
        <xdr:cNvPr id="14" name="Chart 2"/>
        <xdr:cNvGraphicFramePr/>
      </xdr:nvGraphicFramePr>
      <xdr:xfrm>
        <a:off x="4119480" y="1026000"/>
        <a:ext cx="6765120" cy="2109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460800</xdr:colOff>
      <xdr:row>5</xdr:row>
      <xdr:rowOff>101880</xdr:rowOff>
    </xdr:from>
    <xdr:to>
      <xdr:col>12</xdr:col>
      <xdr:colOff>378000</xdr:colOff>
      <xdr:row>17</xdr:row>
      <xdr:rowOff>49320</xdr:rowOff>
    </xdr:to>
    <xdr:graphicFrame>
      <xdr:nvGraphicFramePr>
        <xdr:cNvPr id="15" name="Chart 1"/>
        <xdr:cNvGraphicFramePr/>
      </xdr:nvGraphicFramePr>
      <xdr:xfrm>
        <a:off x="4262400" y="997200"/>
        <a:ext cx="6765120" cy="206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L48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E21" activeCellId="0" sqref="E21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3"/>
    <col collapsed="false" customWidth="true" hidden="false" outlineLevel="0" max="3" min="3" style="0" width="9.63"/>
    <col collapsed="false" customWidth="true" hidden="false" outlineLevel="0" max="4" min="4" style="0" width="14.74"/>
    <col collapsed="false" customWidth="true" hidden="false" outlineLevel="0" max="23" min="5" style="0" width="9.63"/>
    <col collapsed="false" customWidth="true" hidden="false" outlineLevel="0" max="38" min="24" style="1" width="9.63"/>
    <col collapsed="false" customWidth="true" hidden="false" outlineLevel="0" max="39" min="39" style="0" width="9.63"/>
  </cols>
  <sheetData>
    <row r="1" customFormat="false" ht="15" hidden="false" customHeight="true" outlineLevel="0" collapsed="false">
      <c r="A1" s="2"/>
      <c r="B1" s="3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5" t="s">
        <v>18</v>
      </c>
      <c r="U1" s="3" t="s">
        <v>19</v>
      </c>
      <c r="V1" s="3" t="s">
        <v>20</v>
      </c>
      <c r="W1" s="6" t="s">
        <v>21</v>
      </c>
    </row>
    <row r="2" customFormat="false" ht="15" hidden="false" customHeight="true" outlineLevel="0" collapsed="false">
      <c r="A2" s="2" t="s">
        <v>22</v>
      </c>
      <c r="B2" s="7" t="s">
        <v>23</v>
      </c>
      <c r="C2" s="8" t="n">
        <v>2.6</v>
      </c>
      <c r="D2" s="8" t="n">
        <v>2.6</v>
      </c>
      <c r="E2" s="9" t="n">
        <v>2.6</v>
      </c>
      <c r="F2" s="8" t="n">
        <v>2.4</v>
      </c>
      <c r="G2" s="8" t="n">
        <v>2.5</v>
      </c>
      <c r="H2" s="8" t="n">
        <v>2.4</v>
      </c>
      <c r="I2" s="8" t="n">
        <v>2.5</v>
      </c>
      <c r="J2" s="8" t="n">
        <v>2.3</v>
      </c>
      <c r="K2" s="8" t="n">
        <v>2.3</v>
      </c>
      <c r="L2" s="8" t="n">
        <v>2.4</v>
      </c>
      <c r="M2" s="8" t="n">
        <v>1.8</v>
      </c>
      <c r="N2" s="8" t="n">
        <v>1.5</v>
      </c>
      <c r="O2" s="8" t="n">
        <v>1.1</v>
      </c>
      <c r="P2" s="8" t="n">
        <v>1.1</v>
      </c>
      <c r="Q2" s="8" t="n">
        <v>1.6</v>
      </c>
      <c r="R2" s="8" t="n">
        <v>2.1</v>
      </c>
      <c r="S2" s="8" t="n">
        <v>2.6</v>
      </c>
      <c r="T2" s="10" t="n">
        <v>1.2</v>
      </c>
      <c r="U2" s="8" t="n">
        <v>1</v>
      </c>
      <c r="V2" s="8" t="n">
        <v>1.1</v>
      </c>
      <c r="W2" s="11" t="n">
        <f aca="false">AVERAGE(C2:V2)</f>
        <v>1.985</v>
      </c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</row>
    <row r="3" customFormat="false" ht="15" hidden="false" customHeight="true" outlineLevel="0" collapsed="false">
      <c r="A3" s="2" t="s">
        <v>24</v>
      </c>
      <c r="B3" s="7" t="s">
        <v>23</v>
      </c>
      <c r="C3" s="8" t="n">
        <v>4.7</v>
      </c>
      <c r="D3" s="8" t="n">
        <v>4.8</v>
      </c>
      <c r="E3" s="9" t="n">
        <v>4.9</v>
      </c>
      <c r="F3" s="8" t="n">
        <v>5.9</v>
      </c>
      <c r="G3" s="8" t="n">
        <v>4.8</v>
      </c>
      <c r="H3" s="8" t="n">
        <v>4.8</v>
      </c>
      <c r="I3" s="8" t="n">
        <v>5.1</v>
      </c>
      <c r="J3" s="8" t="n">
        <v>4.7</v>
      </c>
      <c r="K3" s="8" t="n">
        <v>4.7</v>
      </c>
      <c r="L3" s="8" t="n">
        <v>4.9</v>
      </c>
      <c r="M3" s="8" t="n">
        <v>4</v>
      </c>
      <c r="N3" s="8" t="n">
        <v>3.4</v>
      </c>
      <c r="O3" s="8" t="n">
        <v>2.4</v>
      </c>
      <c r="P3" s="8" t="n">
        <v>2.7</v>
      </c>
      <c r="Q3" s="8" t="n">
        <v>3.5</v>
      </c>
      <c r="R3" s="8" t="n">
        <v>3.5</v>
      </c>
      <c r="S3" s="8" t="n">
        <v>3.8</v>
      </c>
      <c r="T3" s="10" t="n">
        <v>4.2</v>
      </c>
      <c r="U3" s="8" t="n">
        <v>2.5</v>
      </c>
      <c r="V3" s="8" t="n">
        <v>1.9</v>
      </c>
      <c r="W3" s="11" t="n">
        <f aca="false">AVERAGE(C3:V3)</f>
        <v>4.06</v>
      </c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="18" customFormat="true" ht="15" hidden="false" customHeight="true" outlineLevel="0" collapsed="false">
      <c r="A4" s="2" t="s">
        <v>25</v>
      </c>
      <c r="B4" s="7" t="s">
        <v>23</v>
      </c>
      <c r="C4" s="14" t="n">
        <v>6.4</v>
      </c>
      <c r="D4" s="14" t="n">
        <v>6.1</v>
      </c>
      <c r="E4" s="15" t="n">
        <v>6</v>
      </c>
      <c r="F4" s="16" t="n">
        <v>6.2</v>
      </c>
      <c r="G4" s="16" t="n">
        <v>6.5</v>
      </c>
      <c r="H4" s="16" t="n">
        <v>5.8</v>
      </c>
      <c r="I4" s="16" t="n">
        <v>5.6</v>
      </c>
      <c r="J4" s="16" t="n">
        <v>6.3</v>
      </c>
      <c r="K4" s="16" t="n">
        <v>6.5</v>
      </c>
      <c r="L4" s="16" t="n">
        <v>6.4</v>
      </c>
      <c r="M4" s="16" t="n">
        <v>5.6</v>
      </c>
      <c r="N4" s="16" t="n">
        <v>5.7</v>
      </c>
      <c r="O4" s="16" t="n">
        <v>5.3</v>
      </c>
      <c r="P4" s="16" t="n">
        <v>5.2</v>
      </c>
      <c r="Q4" s="16" t="n">
        <v>4.6</v>
      </c>
      <c r="R4" s="16" t="n">
        <v>3.7</v>
      </c>
      <c r="S4" s="16" t="n">
        <v>4.3</v>
      </c>
      <c r="T4" s="17" t="n">
        <v>3.5</v>
      </c>
      <c r="U4" s="14" t="n">
        <v>2.9</v>
      </c>
      <c r="V4" s="14" t="n">
        <v>3.8</v>
      </c>
      <c r="W4" s="11" t="n">
        <f aca="false">AVERAGE(C4:V4)</f>
        <v>5.32</v>
      </c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 s="1" customFormat="true" ht="15" hidden="false" customHeight="true" outlineLevel="0" collapsed="false"/>
    <row r="6" s="1" customFormat="true" ht="15" hidden="false" customHeight="true" outlineLevel="0" collapsed="false"/>
    <row r="7" s="1" customFormat="true" ht="14.25" hidden="false" customHeight="false" outlineLevel="0" collapsed="false"/>
    <row r="8" customFormat="false" ht="14.25" hidden="false" customHeight="true" outlineLevel="0" collapsed="false">
      <c r="A8" s="1"/>
      <c r="B8" s="1"/>
      <c r="C8" s="1"/>
      <c r="D8" s="3" t="s">
        <v>26</v>
      </c>
      <c r="E8" s="6" t="s">
        <v>22</v>
      </c>
      <c r="F8" s="6"/>
      <c r="G8" s="6" t="s">
        <v>24</v>
      </c>
      <c r="H8" s="6"/>
      <c r="I8" s="6" t="s">
        <v>25</v>
      </c>
      <c r="J8" s="6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28.5" hidden="false" customHeight="true" outlineLevel="0" collapsed="false">
      <c r="A9" s="1"/>
      <c r="B9" s="1"/>
      <c r="C9" s="1"/>
      <c r="D9" s="3"/>
      <c r="E9" s="19" t="s">
        <v>21</v>
      </c>
      <c r="F9" s="19" t="s">
        <v>27</v>
      </c>
      <c r="G9" s="19" t="s">
        <v>21</v>
      </c>
      <c r="H9" s="19" t="s">
        <v>27</v>
      </c>
      <c r="I9" s="19" t="s">
        <v>21</v>
      </c>
      <c r="J9" s="19" t="s">
        <v>27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27" hidden="false" customHeight="true" outlineLevel="0" collapsed="false">
      <c r="A10" s="1"/>
      <c r="B10" s="1"/>
      <c r="C10" s="1"/>
      <c r="D10" s="7" t="s">
        <v>0</v>
      </c>
      <c r="E10" s="11" t="n">
        <f aca="false">AVERAGE(C2:V2)</f>
        <v>1.985</v>
      </c>
      <c r="F10" s="11" t="n">
        <f aca="false">ROUND(_xlfn.STDEV.S(C2:V2),2)</f>
        <v>0.61</v>
      </c>
      <c r="G10" s="11" t="n">
        <f aca="false">AVERAGE(C3:V3)</f>
        <v>4.06</v>
      </c>
      <c r="H10" s="20" t="n">
        <f aca="false">ROUND(_xlfn.STDEV.S(C3:V3),2)</f>
        <v>1.07</v>
      </c>
      <c r="I10" s="11" t="n">
        <f aca="false">AVERAGE(C4:V4)</f>
        <v>5.32</v>
      </c>
      <c r="J10" s="11" t="n">
        <f aca="false">ROUND(_xlfn.STDEV.S(C4:V4),2)</f>
        <v>1.13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4.25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4.2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4.25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4.2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4.25" hidden="false" customHeight="false" outlineLevel="0" collapsed="false">
      <c r="A15" s="12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4.25" hidden="false" customHeight="false" outlineLevel="0" collapsed="false">
      <c r="A16" s="12"/>
      <c r="B16" s="22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4.25" hidden="false" customHeight="false" outlineLevel="0" collapsed="false">
      <c r="A17" s="12"/>
      <c r="B17" s="22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4.25" hidden="false" customHeight="false" outlineLevel="0" collapsed="false">
      <c r="A18" s="12"/>
      <c r="B18" s="12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customFormat="false" ht="14.2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customFormat="false" ht="14.2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customFormat="false" ht="14.2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customFormat="false" ht="14.2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customFormat="false" ht="14.2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customFormat="false" ht="14.2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customFormat="false" ht="14.2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customFormat="false" ht="14.2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customFormat="false" ht="14.2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customFormat="false" ht="14.2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customFormat="false" ht="14.2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customFormat="false" ht="14.2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customFormat="false" ht="14.2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customFormat="false" ht="14.2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customFormat="false" ht="14.2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customFormat="false" ht="14.2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customFormat="false" ht="14.2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customFormat="false" ht="14.2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customFormat="false" ht="14.2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customFormat="false" ht="14.2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customFormat="false" ht="14.2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customFormat="false" ht="14.2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customFormat="false" ht="14.2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customFormat="false" ht="14.2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customFormat="false" ht="14.2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customFormat="false" ht="14.2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customFormat="false" ht="14.2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customFormat="false" ht="14.2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customFormat="false" ht="14.2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customFormat="false" ht="14.25" hidden="false" customHeight="false" outlineLevel="0" collapsed="false"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</sheetData>
  <sheetProtection sheet="true" objects="true" scenarios="true"/>
  <protectedRanges>
    <protectedRange name="Range1" sqref="C2:V4"/>
  </protectedRanges>
  <mergeCells count="4">
    <mergeCell ref="D8:D9"/>
    <mergeCell ref="E8:F8"/>
    <mergeCell ref="G8:H8"/>
    <mergeCell ref="I8:J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R27" activeCellId="0" sqref="R27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4"/>
    <col collapsed="false" customWidth="true" hidden="false" outlineLevel="0" max="39" min="3" style="0" width="9.63"/>
  </cols>
  <sheetData>
    <row r="1" customFormat="false" ht="15" hidden="false" customHeight="true" outlineLevel="0" collapsed="false">
      <c r="A1" s="24" t="s">
        <v>22</v>
      </c>
      <c r="B1" s="25" t="s">
        <v>28</v>
      </c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8</v>
      </c>
      <c r="K1" s="25" t="s">
        <v>9</v>
      </c>
      <c r="L1" s="25" t="s">
        <v>10</v>
      </c>
      <c r="M1" s="25" t="s">
        <v>21</v>
      </c>
    </row>
    <row r="2" customFormat="false" ht="15" hidden="false" customHeight="true" outlineLevel="0" collapsed="false">
      <c r="A2" s="24"/>
      <c r="B2" s="26" t="n">
        <v>0.1</v>
      </c>
      <c r="C2" s="8" t="n">
        <v>0</v>
      </c>
      <c r="D2" s="8" t="n">
        <v>0</v>
      </c>
      <c r="E2" s="8" t="n">
        <v>0</v>
      </c>
      <c r="F2" s="8" t="n">
        <v>0</v>
      </c>
      <c r="G2" s="8" t="n">
        <v>0</v>
      </c>
      <c r="H2" s="8" t="n">
        <v>0</v>
      </c>
      <c r="I2" s="8" t="n">
        <v>0</v>
      </c>
      <c r="J2" s="8" t="n">
        <v>0</v>
      </c>
      <c r="K2" s="8" t="n">
        <v>0</v>
      </c>
      <c r="L2" s="8" t="n">
        <v>0</v>
      </c>
      <c r="M2" s="8" t="n">
        <f aca="false">AVERAGE(C2:L2)</f>
        <v>0</v>
      </c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</row>
    <row r="3" customFormat="false" ht="15" hidden="false" customHeight="true" outlineLevel="0" collapsed="false">
      <c r="A3" s="24"/>
      <c r="B3" s="26" t="n">
        <v>0.2</v>
      </c>
      <c r="C3" s="8" t="n">
        <v>3.2</v>
      </c>
      <c r="D3" s="8" t="n">
        <v>2</v>
      </c>
      <c r="E3" s="8" t="n">
        <v>2</v>
      </c>
      <c r="F3" s="8" t="n">
        <v>2.1</v>
      </c>
      <c r="G3" s="8" t="n">
        <v>2.1</v>
      </c>
      <c r="H3" s="8" t="n">
        <v>3.6</v>
      </c>
      <c r="I3" s="8" t="n">
        <v>2.4</v>
      </c>
      <c r="J3" s="8" t="n">
        <v>2.3</v>
      </c>
      <c r="K3" s="8" t="n">
        <v>2.4</v>
      </c>
      <c r="L3" s="8" t="n">
        <v>1.6</v>
      </c>
      <c r="M3" s="8" t="n">
        <f aca="false">AVERAGE(C3:L3)</f>
        <v>2.37</v>
      </c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customFormat="false" ht="15" hidden="false" customHeight="true" outlineLevel="0" collapsed="false">
      <c r="A4" s="24"/>
      <c r="B4" s="26" t="n">
        <v>0.3</v>
      </c>
      <c r="C4" s="8" t="n">
        <v>2.4</v>
      </c>
      <c r="D4" s="8" t="n">
        <v>2.2</v>
      </c>
      <c r="E4" s="8" t="n">
        <v>2.4</v>
      </c>
      <c r="F4" s="8" t="n">
        <v>2</v>
      </c>
      <c r="G4" s="8" t="n">
        <v>2.5</v>
      </c>
      <c r="H4" s="8" t="n">
        <v>2</v>
      </c>
      <c r="I4" s="8" t="n">
        <v>2</v>
      </c>
      <c r="J4" s="8" t="n">
        <v>2.3</v>
      </c>
      <c r="K4" s="8" t="n">
        <v>2</v>
      </c>
      <c r="L4" s="8" t="n">
        <v>2.1</v>
      </c>
      <c r="M4" s="8" t="n">
        <f aca="false">AVERAGE(C4:L4)</f>
        <v>2.19</v>
      </c>
    </row>
    <row r="5" customFormat="false" ht="15" hidden="false" customHeight="true" outlineLevel="0" collapsed="false">
      <c r="A5" s="24"/>
      <c r="B5" s="26" t="n">
        <v>0.5</v>
      </c>
      <c r="C5" s="8" t="n">
        <v>3.1</v>
      </c>
      <c r="D5" s="8" t="n">
        <v>3.1</v>
      </c>
      <c r="E5" s="8" t="n">
        <v>3.2</v>
      </c>
      <c r="F5" s="8" t="n">
        <v>2.5</v>
      </c>
      <c r="G5" s="8" t="n">
        <v>2.4</v>
      </c>
      <c r="H5" s="8" t="n">
        <v>2.3</v>
      </c>
      <c r="I5" s="8" t="n">
        <v>2.5</v>
      </c>
      <c r="J5" s="8" t="n">
        <v>2.1</v>
      </c>
      <c r="K5" s="8" t="n">
        <v>2.5</v>
      </c>
      <c r="L5" s="8" t="n">
        <v>2.1</v>
      </c>
      <c r="M5" s="8" t="n">
        <f aca="false">AVERAGE(C5:L5)</f>
        <v>2.58</v>
      </c>
    </row>
    <row r="7" customFormat="false" ht="14.25" hidden="false" customHeight="false" outlineLevel="0" collapsed="false">
      <c r="A7" s="24" t="s">
        <v>24</v>
      </c>
      <c r="B7" s="25" t="s">
        <v>28</v>
      </c>
      <c r="C7" s="25" t="s">
        <v>1</v>
      </c>
      <c r="D7" s="25" t="s">
        <v>2</v>
      </c>
      <c r="E7" s="25" t="s">
        <v>3</v>
      </c>
      <c r="F7" s="25" t="s">
        <v>4</v>
      </c>
      <c r="G7" s="25" t="s">
        <v>5</v>
      </c>
      <c r="H7" s="25" t="s">
        <v>6</v>
      </c>
      <c r="I7" s="25" t="s">
        <v>7</v>
      </c>
      <c r="J7" s="25" t="s">
        <v>8</v>
      </c>
      <c r="K7" s="25" t="s">
        <v>9</v>
      </c>
      <c r="L7" s="25" t="s">
        <v>10</v>
      </c>
      <c r="M7" s="25" t="s">
        <v>21</v>
      </c>
    </row>
    <row r="8" customFormat="false" ht="14.25" hidden="false" customHeight="false" outlineLevel="0" collapsed="false">
      <c r="A8" s="24"/>
      <c r="B8" s="26" t="n">
        <v>0.1</v>
      </c>
      <c r="C8" s="8" t="n">
        <v>0</v>
      </c>
      <c r="D8" s="8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f aca="false">C8+D8+E8+F8+G8+H8+I8+J8+K8+L8</f>
        <v>0</v>
      </c>
    </row>
    <row r="9" customFormat="false" ht="14.25" hidden="false" customHeight="false" outlineLevel="0" collapsed="false">
      <c r="A9" s="24"/>
      <c r="B9" s="26" t="n">
        <v>0.2</v>
      </c>
      <c r="C9" s="8" t="n">
        <v>5.1</v>
      </c>
      <c r="D9" s="8" t="n">
        <v>5.1</v>
      </c>
      <c r="E9" s="8" t="n">
        <v>5</v>
      </c>
      <c r="F9" s="8" t="n">
        <v>4.8</v>
      </c>
      <c r="G9" s="8" t="n">
        <v>5.3</v>
      </c>
      <c r="H9" s="8" t="n">
        <v>5</v>
      </c>
      <c r="I9" s="8" t="n">
        <v>4.5</v>
      </c>
      <c r="J9" s="8" t="n">
        <v>5.5</v>
      </c>
      <c r="K9" s="8" t="n">
        <v>5.4</v>
      </c>
      <c r="L9" s="8" t="n">
        <v>5.7</v>
      </c>
      <c r="M9" s="8" t="n">
        <f aca="false">AVERAGE(C9:L9)</f>
        <v>5.14</v>
      </c>
    </row>
    <row r="10" customFormat="false" ht="14.25" hidden="false" customHeight="false" outlineLevel="0" collapsed="false">
      <c r="A10" s="24"/>
      <c r="B10" s="26" t="n">
        <v>0.3</v>
      </c>
      <c r="C10" s="8" t="n">
        <v>4.4</v>
      </c>
      <c r="D10" s="8" t="n">
        <v>5.6</v>
      </c>
      <c r="E10" s="8" t="n">
        <v>5</v>
      </c>
      <c r="F10" s="8" t="n">
        <v>5.2</v>
      </c>
      <c r="G10" s="8" t="n">
        <v>4.7</v>
      </c>
      <c r="H10" s="8" t="n">
        <v>4.2</v>
      </c>
      <c r="I10" s="8" t="n">
        <v>4.8</v>
      </c>
      <c r="J10" s="8" t="n">
        <v>5.7</v>
      </c>
      <c r="K10" s="8" t="n">
        <v>5.5</v>
      </c>
      <c r="L10" s="8" t="n">
        <v>4.9</v>
      </c>
      <c r="M10" s="8" t="n">
        <f aca="false">AVERAGE(C10:L10)</f>
        <v>5</v>
      </c>
    </row>
    <row r="11" customFormat="false" ht="14.25" hidden="false" customHeight="false" outlineLevel="0" collapsed="false">
      <c r="A11" s="24"/>
      <c r="B11" s="26" t="n">
        <v>0.5</v>
      </c>
      <c r="C11" s="8" t="n">
        <v>5.6</v>
      </c>
      <c r="D11" s="8" t="n">
        <v>5.7</v>
      </c>
      <c r="E11" s="8" t="n">
        <v>6</v>
      </c>
      <c r="F11" s="8" t="n">
        <v>5.9</v>
      </c>
      <c r="G11" s="8" t="n">
        <v>5.4</v>
      </c>
      <c r="H11" s="8" t="n">
        <v>5.2</v>
      </c>
      <c r="I11" s="8" t="n">
        <v>5.4</v>
      </c>
      <c r="J11" s="8" t="n">
        <v>4.9</v>
      </c>
      <c r="K11" s="8" t="n">
        <v>5.4</v>
      </c>
      <c r="L11" s="8" t="n">
        <v>5.9</v>
      </c>
      <c r="M11" s="8" t="n">
        <f aca="false">AVERAGE(C11:L11)</f>
        <v>5.54</v>
      </c>
    </row>
    <row r="13" customFormat="false" ht="14.25" hidden="false" customHeight="false" outlineLevel="0" collapsed="false">
      <c r="A13" s="24" t="s">
        <v>25</v>
      </c>
      <c r="B13" s="25" t="s">
        <v>28</v>
      </c>
      <c r="C13" s="25" t="s">
        <v>1</v>
      </c>
      <c r="D13" s="25" t="s">
        <v>2</v>
      </c>
      <c r="E13" s="25" t="s">
        <v>3</v>
      </c>
      <c r="F13" s="25" t="s">
        <v>4</v>
      </c>
      <c r="G13" s="25" t="s">
        <v>5</v>
      </c>
      <c r="H13" s="25" t="s">
        <v>6</v>
      </c>
      <c r="I13" s="25" t="s">
        <v>7</v>
      </c>
      <c r="J13" s="25" t="s">
        <v>8</v>
      </c>
      <c r="K13" s="25" t="s">
        <v>9</v>
      </c>
      <c r="L13" s="25" t="s">
        <v>10</v>
      </c>
      <c r="M13" s="25" t="s">
        <v>21</v>
      </c>
    </row>
    <row r="14" customFormat="false" ht="14.25" hidden="false" customHeight="false" outlineLevel="0" collapsed="false">
      <c r="A14" s="24"/>
      <c r="B14" s="26" t="n">
        <v>0.1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f aca="false">AVERAGE(C14:L14)</f>
        <v>0</v>
      </c>
    </row>
    <row r="15" customFormat="false" ht="14.25" hidden="false" customHeight="false" outlineLevel="0" collapsed="false">
      <c r="A15" s="24"/>
      <c r="B15" s="26" t="n">
        <v>0.2</v>
      </c>
      <c r="C15" s="8" t="n">
        <v>6.5</v>
      </c>
      <c r="D15" s="8" t="n">
        <v>6.4</v>
      </c>
      <c r="E15" s="8" t="n">
        <v>6.7</v>
      </c>
      <c r="F15" s="8" t="n">
        <v>6.5</v>
      </c>
      <c r="G15" s="8" t="n">
        <v>5.9</v>
      </c>
      <c r="H15" s="8" t="n">
        <v>5.2</v>
      </c>
      <c r="I15" s="8" t="n">
        <v>6.5</v>
      </c>
      <c r="J15" s="8" t="n">
        <v>7</v>
      </c>
      <c r="K15" s="8" t="n">
        <v>6.9</v>
      </c>
      <c r="L15" s="8" t="n">
        <v>6</v>
      </c>
      <c r="M15" s="8" t="n">
        <f aca="false">AVERAGE(C15:L15)</f>
        <v>6.36</v>
      </c>
    </row>
    <row r="16" customFormat="false" ht="14.25" hidden="false" customHeight="false" outlineLevel="0" collapsed="false">
      <c r="A16" s="24"/>
      <c r="B16" s="26" t="n">
        <v>0.3</v>
      </c>
      <c r="C16" s="8" t="n">
        <v>7.5</v>
      </c>
      <c r="D16" s="8" t="n">
        <v>7.5</v>
      </c>
      <c r="E16" s="8" t="n">
        <v>8</v>
      </c>
      <c r="F16" s="8" t="n">
        <v>7.9</v>
      </c>
      <c r="G16" s="8" t="n">
        <v>7.9</v>
      </c>
      <c r="H16" s="8" t="n">
        <v>7.4</v>
      </c>
      <c r="I16" s="8" t="n">
        <v>6.8</v>
      </c>
      <c r="J16" s="8" t="n">
        <v>7</v>
      </c>
      <c r="K16" s="8" t="n">
        <v>7.1</v>
      </c>
      <c r="L16" s="8" t="n">
        <v>6.8</v>
      </c>
      <c r="M16" s="8" t="n">
        <f aca="false">AVERAGE(C16:L16)</f>
        <v>7.39</v>
      </c>
    </row>
    <row r="17" customFormat="false" ht="14.25" hidden="false" customHeight="false" outlineLevel="0" collapsed="false">
      <c r="A17" s="24"/>
      <c r="B17" s="26" t="n">
        <v>0.5</v>
      </c>
      <c r="C17" s="8" t="n">
        <v>8</v>
      </c>
      <c r="D17" s="8" t="n">
        <v>7.8</v>
      </c>
      <c r="E17" s="8" t="n">
        <v>7.7</v>
      </c>
      <c r="F17" s="8" t="n">
        <v>6.8</v>
      </c>
      <c r="G17" s="8" t="n">
        <v>7.9</v>
      </c>
      <c r="H17" s="8" t="n">
        <v>8.2</v>
      </c>
      <c r="I17" s="8" t="n">
        <v>6.9</v>
      </c>
      <c r="J17" s="8" t="n">
        <v>7.7</v>
      </c>
      <c r="K17" s="8" t="n">
        <v>6.7</v>
      </c>
      <c r="L17" s="8" t="n">
        <v>7.7</v>
      </c>
      <c r="M17" s="8" t="n">
        <f aca="false">AVERAGE(C17:L17)</f>
        <v>7.54</v>
      </c>
    </row>
    <row r="18" customFormat="false" ht="6" hidden="false" customHeight="true" outlineLevel="0" collapsed="false"/>
    <row r="19" customFormat="false" ht="6" hidden="false" customHeight="true" outlineLevel="0" collapsed="false"/>
    <row r="20" customFormat="false" ht="14.25" hidden="false" customHeight="true" outlineLevel="0" collapsed="false">
      <c r="B20" s="25" t="s">
        <v>26</v>
      </c>
      <c r="C20" s="28" t="s">
        <v>22</v>
      </c>
      <c r="D20" s="28"/>
      <c r="E20" s="28" t="s">
        <v>24</v>
      </c>
      <c r="F20" s="28"/>
      <c r="G20" s="28" t="s">
        <v>25</v>
      </c>
      <c r="H20" s="28"/>
    </row>
    <row r="21" customFormat="false" ht="14.25" hidden="false" customHeight="false" outlineLevel="0" collapsed="false">
      <c r="B21" s="25"/>
      <c r="C21" s="28" t="s">
        <v>21</v>
      </c>
      <c r="D21" s="28" t="s">
        <v>27</v>
      </c>
      <c r="E21" s="28" t="s">
        <v>21</v>
      </c>
      <c r="F21" s="28" t="s">
        <v>27</v>
      </c>
      <c r="G21" s="28" t="s">
        <v>21</v>
      </c>
      <c r="H21" s="28" t="s">
        <v>27</v>
      </c>
    </row>
    <row r="22" customFormat="false" ht="14.25" hidden="false" customHeight="false" outlineLevel="0" collapsed="false">
      <c r="B22" s="8" t="n">
        <v>0.1</v>
      </c>
      <c r="C22" s="14" t="n">
        <f aca="false">AVERAGE(C2:L2)</f>
        <v>0</v>
      </c>
      <c r="D22" s="14" t="n">
        <f aca="false">ROUND(_xlfn.STDEV.S(C2:L2),2)</f>
        <v>0</v>
      </c>
      <c r="E22" s="14" t="n">
        <f aca="false">AVERAGE(C8:L8)</f>
        <v>0</v>
      </c>
      <c r="F22" s="14" t="n">
        <f aca="false">ROUND(_xlfn.STDEV.S(C8:L8),2)</f>
        <v>0</v>
      </c>
      <c r="G22" s="14" t="n">
        <f aca="false">AVERAGE(C14:L14)</f>
        <v>0</v>
      </c>
      <c r="H22" s="14" t="n">
        <f aca="false">ROUND(_xlfn.STDEV.S(C14:L14),2)</f>
        <v>0</v>
      </c>
    </row>
    <row r="23" customFormat="false" ht="14.25" hidden="false" customHeight="false" outlineLevel="0" collapsed="false">
      <c r="B23" s="8" t="n">
        <v>0.2</v>
      </c>
      <c r="C23" s="14" t="n">
        <f aca="false">AVERAGE(C3:L3)</f>
        <v>2.37</v>
      </c>
      <c r="D23" s="14" t="n">
        <f aca="false">ROUND(_xlfn.STDEV.S(C3:L3),2)</f>
        <v>0.6</v>
      </c>
      <c r="E23" s="14" t="n">
        <f aca="false">AVERAGE(C9:L9)</f>
        <v>5.14</v>
      </c>
      <c r="F23" s="14" t="n">
        <f aca="false">ROUND(_xlfn.STDEV.S(C9:L9),2)</f>
        <v>0.35</v>
      </c>
      <c r="G23" s="14" t="n">
        <f aca="false">AVERAGE(C15:L15)</f>
        <v>6.36</v>
      </c>
      <c r="H23" s="14" t="n">
        <f aca="false">ROUND(_xlfn.STDEV.S(C15:L15),2)</f>
        <v>0.53</v>
      </c>
    </row>
    <row r="24" customFormat="false" ht="14.25" hidden="false" customHeight="false" outlineLevel="0" collapsed="false">
      <c r="B24" s="8" t="n">
        <v>0.3</v>
      </c>
      <c r="C24" s="14" t="n">
        <f aca="false">AVERAGE(C4:L4)</f>
        <v>2.19</v>
      </c>
      <c r="D24" s="14" t="n">
        <f aca="false">ROUND(_xlfn.STDEV.S(C4:L4),2)</f>
        <v>0.2</v>
      </c>
      <c r="E24" s="14" t="n">
        <f aca="false">AVERAGE(C10:L10)</f>
        <v>5</v>
      </c>
      <c r="F24" s="14" t="n">
        <f aca="false">ROUND(_xlfn.STDEV.S(C10:L10),2)</f>
        <v>0.5</v>
      </c>
      <c r="G24" s="14" t="n">
        <f aca="false">AVERAGE(C16:L16)</f>
        <v>7.39</v>
      </c>
      <c r="H24" s="14" t="n">
        <f aca="false">ROUND(_xlfn.STDEV.S(C16:L16),2)</f>
        <v>0.45</v>
      </c>
    </row>
    <row r="25" customFormat="false" ht="14.25" hidden="false" customHeight="false" outlineLevel="0" collapsed="false">
      <c r="B25" s="8" t="n">
        <v>0.5</v>
      </c>
      <c r="C25" s="14" t="n">
        <f aca="false">AVERAGE(C5:L5)</f>
        <v>2.58</v>
      </c>
      <c r="D25" s="14" t="n">
        <f aca="false">ROUND(_xlfn.STDEV.S(C5:L5),2)</f>
        <v>0.41</v>
      </c>
      <c r="E25" s="14" t="n">
        <f aca="false">AVERAGE(C11:L11)</f>
        <v>5.54</v>
      </c>
      <c r="F25" s="14" t="n">
        <f aca="false">ROUND(_xlfn.STDEV.S(C11:L11),2)</f>
        <v>0.35</v>
      </c>
      <c r="G25" s="14" t="n">
        <f aca="false">AVERAGE(C17:L17)</f>
        <v>7.54</v>
      </c>
      <c r="H25" s="14" t="n">
        <f aca="false">ROUND(_xlfn.STDEV.S(C17:L17),2)</f>
        <v>0.54</v>
      </c>
    </row>
    <row r="26" customFormat="false" ht="14.25" hidden="false" customHeight="false" outlineLevel="0" collapsed="false">
      <c r="B26" s="14" t="s">
        <v>0</v>
      </c>
      <c r="C26" s="14" t="n">
        <f aca="false">'Control Onion'!E10</f>
        <v>1.985</v>
      </c>
      <c r="D26" s="14" t="n">
        <f aca="false">'Control Onion'!F10</f>
        <v>0.61</v>
      </c>
      <c r="E26" s="14" t="n">
        <f aca="false">'Control Onion'!G10</f>
        <v>4.06</v>
      </c>
      <c r="F26" s="14" t="n">
        <f aca="false">'Control Onion'!H10</f>
        <v>1.07</v>
      </c>
      <c r="G26" s="14" t="n">
        <f aca="false">'Control Onion'!I10</f>
        <v>5.32</v>
      </c>
      <c r="H26" s="14" t="n">
        <f aca="false">'Control Onion'!J10</f>
        <v>1.13</v>
      </c>
    </row>
  </sheetData>
  <mergeCells count="7">
    <mergeCell ref="A1:A5"/>
    <mergeCell ref="A7:A11"/>
    <mergeCell ref="A13:A17"/>
    <mergeCell ref="B20:B21"/>
    <mergeCell ref="C20:D20"/>
    <mergeCell ref="E20:F20"/>
    <mergeCell ref="G20:H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26" activeCellId="0" sqref="D26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3"/>
    <col collapsed="false" customWidth="true" hidden="false" outlineLevel="0" max="39" min="3" style="0" width="9.63"/>
  </cols>
  <sheetData>
    <row r="1" customFormat="false" ht="15" hidden="false" customHeight="true" outlineLevel="0" collapsed="false">
      <c r="A1" s="24" t="s">
        <v>22</v>
      </c>
      <c r="B1" s="25" t="s">
        <v>28</v>
      </c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8</v>
      </c>
      <c r="K1" s="25" t="s">
        <v>9</v>
      </c>
      <c r="L1" s="25" t="s">
        <v>10</v>
      </c>
      <c r="M1" s="25" t="s">
        <v>21</v>
      </c>
    </row>
    <row r="2" customFormat="false" ht="15" hidden="false" customHeight="true" outlineLevel="0" collapsed="false">
      <c r="A2" s="24"/>
      <c r="B2" s="26" t="n">
        <v>0.1</v>
      </c>
      <c r="C2" s="8" t="n">
        <v>1.8</v>
      </c>
      <c r="D2" s="8" t="n">
        <v>1.1</v>
      </c>
      <c r="E2" s="8" t="n">
        <v>1</v>
      </c>
      <c r="F2" s="8" t="n">
        <v>1.4</v>
      </c>
      <c r="G2" s="8" t="n">
        <v>1.3</v>
      </c>
      <c r="H2" s="8" t="n">
        <v>1.5</v>
      </c>
      <c r="I2" s="8" t="n">
        <v>1</v>
      </c>
      <c r="J2" s="8" t="n">
        <v>1.5</v>
      </c>
      <c r="K2" s="8" t="n">
        <v>1</v>
      </c>
      <c r="L2" s="8" t="n">
        <v>1</v>
      </c>
      <c r="M2" s="8" t="n">
        <f aca="false">AVERAGE(C2:L2)</f>
        <v>1.26</v>
      </c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</row>
    <row r="3" customFormat="false" ht="15" hidden="false" customHeight="true" outlineLevel="0" collapsed="false">
      <c r="A3" s="24"/>
      <c r="B3" s="26" t="n">
        <v>0.2</v>
      </c>
      <c r="C3" s="8" t="n">
        <v>1.5</v>
      </c>
      <c r="D3" s="8" t="n">
        <v>1.4</v>
      </c>
      <c r="E3" s="8" t="n">
        <v>1.9</v>
      </c>
      <c r="F3" s="8" t="n">
        <v>1.8</v>
      </c>
      <c r="G3" s="8" t="n">
        <v>1.4</v>
      </c>
      <c r="H3" s="8" t="n">
        <v>1.3</v>
      </c>
      <c r="I3" s="8" t="n">
        <v>1.3</v>
      </c>
      <c r="J3" s="8" t="n">
        <v>2.2</v>
      </c>
      <c r="K3" s="8" t="n">
        <v>1</v>
      </c>
      <c r="L3" s="8" t="n">
        <v>1.2</v>
      </c>
      <c r="M3" s="8" t="n">
        <f aca="false">AVERAGE(C3:L3)</f>
        <v>1.5</v>
      </c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customFormat="false" ht="15" hidden="false" customHeight="true" outlineLevel="0" collapsed="false">
      <c r="A4" s="24"/>
      <c r="B4" s="26" t="n">
        <v>0.3</v>
      </c>
      <c r="C4" s="8" t="n">
        <v>1.5</v>
      </c>
      <c r="D4" s="8" t="n">
        <v>2</v>
      </c>
      <c r="E4" s="8" t="n">
        <v>2.2</v>
      </c>
      <c r="F4" s="8" t="n">
        <v>1.8</v>
      </c>
      <c r="G4" s="8" t="n">
        <v>1.4</v>
      </c>
      <c r="H4" s="8" t="n">
        <v>1.7</v>
      </c>
      <c r="I4" s="8" t="n">
        <v>2.3</v>
      </c>
      <c r="J4" s="8" t="n">
        <v>2</v>
      </c>
      <c r="K4" s="8" t="n">
        <v>2.2</v>
      </c>
      <c r="L4" s="8" t="n">
        <v>2.1</v>
      </c>
      <c r="M4" s="8" t="n">
        <f aca="false">AVERAGE(C4:L4)</f>
        <v>1.92</v>
      </c>
    </row>
    <row r="5" customFormat="false" ht="15" hidden="false" customHeight="true" outlineLevel="0" collapsed="false">
      <c r="A5" s="24"/>
      <c r="B5" s="26" t="n">
        <v>0.5</v>
      </c>
      <c r="C5" s="8" t="n">
        <v>2.7</v>
      </c>
      <c r="D5" s="8" t="n">
        <v>2.5</v>
      </c>
      <c r="E5" s="8" t="n">
        <v>3</v>
      </c>
      <c r="F5" s="8" t="n">
        <v>2.9</v>
      </c>
      <c r="G5" s="8" t="n">
        <v>3</v>
      </c>
      <c r="H5" s="8" t="n">
        <v>2.9</v>
      </c>
      <c r="I5" s="8" t="n">
        <v>2.5</v>
      </c>
      <c r="J5" s="8" t="n">
        <v>2.9</v>
      </c>
      <c r="K5" s="8" t="n">
        <v>2.6</v>
      </c>
      <c r="L5" s="8" t="n">
        <v>2.7</v>
      </c>
      <c r="M5" s="8" t="n">
        <f aca="false">AVERAGE(C5:L5)</f>
        <v>2.77</v>
      </c>
    </row>
    <row r="7" customFormat="false" ht="14.25" hidden="false" customHeight="false" outlineLevel="0" collapsed="false">
      <c r="A7" s="24" t="s">
        <v>24</v>
      </c>
      <c r="B7" s="25" t="s">
        <v>28</v>
      </c>
      <c r="C7" s="25" t="s">
        <v>1</v>
      </c>
      <c r="D7" s="25" t="s">
        <v>2</v>
      </c>
      <c r="E7" s="25" t="s">
        <v>3</v>
      </c>
      <c r="F7" s="25" t="s">
        <v>4</v>
      </c>
      <c r="G7" s="25" t="s">
        <v>5</v>
      </c>
      <c r="H7" s="25" t="s">
        <v>6</v>
      </c>
      <c r="I7" s="25" t="s">
        <v>7</v>
      </c>
      <c r="J7" s="25" t="s">
        <v>8</v>
      </c>
      <c r="K7" s="25" t="s">
        <v>9</v>
      </c>
      <c r="L7" s="25" t="s">
        <v>10</v>
      </c>
      <c r="M7" s="25" t="s">
        <v>21</v>
      </c>
    </row>
    <row r="8" customFormat="false" ht="14.25" hidden="false" customHeight="false" outlineLevel="0" collapsed="false">
      <c r="A8" s="24"/>
      <c r="B8" s="26" t="n">
        <v>0.1</v>
      </c>
      <c r="C8" s="8" t="n">
        <v>2.4</v>
      </c>
      <c r="D8" s="8" t="n">
        <v>2.5</v>
      </c>
      <c r="E8" s="8" t="n">
        <v>2.1</v>
      </c>
      <c r="F8" s="8" t="n">
        <v>3.1</v>
      </c>
      <c r="G8" s="8" t="n">
        <v>2.9</v>
      </c>
      <c r="H8" s="8" t="n">
        <v>1.8</v>
      </c>
      <c r="I8" s="8" t="n">
        <v>2.3</v>
      </c>
      <c r="J8" s="8" t="n">
        <v>2.8</v>
      </c>
      <c r="K8" s="8" t="n">
        <v>2</v>
      </c>
      <c r="L8" s="8" t="n">
        <v>1.6</v>
      </c>
      <c r="M8" s="8" t="n">
        <f aca="false">AVERAGE(C8:L8)</f>
        <v>2.35</v>
      </c>
    </row>
    <row r="9" customFormat="false" ht="14.25" hidden="false" customHeight="false" outlineLevel="0" collapsed="false">
      <c r="A9" s="24"/>
      <c r="B9" s="26" t="n">
        <v>0.2</v>
      </c>
      <c r="C9" s="8" t="n">
        <v>2.8</v>
      </c>
      <c r="D9" s="8" t="n">
        <v>2.3</v>
      </c>
      <c r="E9" s="8" t="n">
        <v>3.2</v>
      </c>
      <c r="F9" s="8" t="n">
        <v>2.5</v>
      </c>
      <c r="G9" s="8" t="n">
        <v>3.8</v>
      </c>
      <c r="H9" s="8" t="n">
        <v>3.5</v>
      </c>
      <c r="I9" s="8" t="n">
        <v>3.3</v>
      </c>
      <c r="J9" s="8" t="n">
        <v>2.8</v>
      </c>
      <c r="K9" s="8" t="n">
        <v>2.8</v>
      </c>
      <c r="L9" s="8" t="n">
        <v>2.2</v>
      </c>
      <c r="M9" s="8" t="n">
        <f aca="false">AVERAGE(C9:L9)</f>
        <v>2.92</v>
      </c>
    </row>
    <row r="10" customFormat="false" ht="14.25" hidden="false" customHeight="false" outlineLevel="0" collapsed="false">
      <c r="A10" s="24"/>
      <c r="B10" s="26" t="n">
        <v>0.3</v>
      </c>
      <c r="C10" s="8" t="n">
        <v>4.1</v>
      </c>
      <c r="D10" s="8" t="n">
        <v>4</v>
      </c>
      <c r="E10" s="8" t="n">
        <v>3.9</v>
      </c>
      <c r="F10" s="8" t="n">
        <v>3.3</v>
      </c>
      <c r="G10" s="8" t="n">
        <v>3.4</v>
      </c>
      <c r="H10" s="8" t="n">
        <v>3.1</v>
      </c>
      <c r="I10" s="8" t="n">
        <v>4.2</v>
      </c>
      <c r="J10" s="8" t="n">
        <v>4.6</v>
      </c>
      <c r="K10" s="8" t="n">
        <v>3.6</v>
      </c>
      <c r="L10" s="8" t="n">
        <v>3.5</v>
      </c>
      <c r="M10" s="8" t="n">
        <f aca="false">AVERAGE(C10:L10)</f>
        <v>3.77</v>
      </c>
    </row>
    <row r="11" customFormat="false" ht="14.25" hidden="false" customHeight="false" outlineLevel="0" collapsed="false">
      <c r="A11" s="24"/>
      <c r="B11" s="26" t="n">
        <v>0.5</v>
      </c>
      <c r="C11" s="8" t="n">
        <v>5.6</v>
      </c>
      <c r="D11" s="8" t="n">
        <v>5.4</v>
      </c>
      <c r="E11" s="8" t="n">
        <v>5.1</v>
      </c>
      <c r="F11" s="8" t="n">
        <v>5.9</v>
      </c>
      <c r="G11" s="8" t="n">
        <v>5.5</v>
      </c>
      <c r="H11" s="8" t="n">
        <v>5.6</v>
      </c>
      <c r="I11" s="8" t="n">
        <v>5.5</v>
      </c>
      <c r="J11" s="8" t="n">
        <v>6.5</v>
      </c>
      <c r="K11" s="8" t="n">
        <v>5.5</v>
      </c>
      <c r="L11" s="8" t="n">
        <v>6.3</v>
      </c>
      <c r="M11" s="8" t="n">
        <f aca="false">AVERAGE(C11:L11)</f>
        <v>5.69</v>
      </c>
    </row>
    <row r="13" customFormat="false" ht="14.25" hidden="false" customHeight="false" outlineLevel="0" collapsed="false">
      <c r="A13" s="24" t="s">
        <v>25</v>
      </c>
      <c r="B13" s="25" t="s">
        <v>28</v>
      </c>
      <c r="C13" s="25" t="s">
        <v>1</v>
      </c>
      <c r="D13" s="25" t="s">
        <v>2</v>
      </c>
      <c r="E13" s="25" t="s">
        <v>3</v>
      </c>
      <c r="F13" s="25" t="s">
        <v>4</v>
      </c>
      <c r="G13" s="25" t="s">
        <v>5</v>
      </c>
      <c r="H13" s="25" t="s">
        <v>6</v>
      </c>
      <c r="I13" s="25" t="s">
        <v>7</v>
      </c>
      <c r="J13" s="25" t="s">
        <v>8</v>
      </c>
      <c r="K13" s="25" t="s">
        <v>9</v>
      </c>
      <c r="L13" s="25" t="s">
        <v>10</v>
      </c>
      <c r="M13" s="25" t="s">
        <v>21</v>
      </c>
    </row>
    <row r="14" customFormat="false" ht="14.25" hidden="false" customHeight="false" outlineLevel="0" collapsed="false">
      <c r="A14" s="24"/>
      <c r="B14" s="26" t="n">
        <v>0.1</v>
      </c>
      <c r="C14" s="8" t="n">
        <v>4</v>
      </c>
      <c r="D14" s="8" t="n">
        <v>4.5</v>
      </c>
      <c r="E14" s="8" t="n">
        <v>3.5</v>
      </c>
      <c r="F14" s="8" t="n">
        <v>3</v>
      </c>
      <c r="G14" s="8" t="n">
        <v>4</v>
      </c>
      <c r="H14" s="8" t="n">
        <v>2.4</v>
      </c>
      <c r="I14" s="8" t="n">
        <v>3.9</v>
      </c>
      <c r="J14" s="8" t="n">
        <v>2.8</v>
      </c>
      <c r="K14" s="8" t="n">
        <v>2.2</v>
      </c>
      <c r="L14" s="8" t="n">
        <v>2.1</v>
      </c>
      <c r="M14" s="8" t="n">
        <f aca="false">AVERAGE(C14:L14)</f>
        <v>3.24</v>
      </c>
    </row>
    <row r="15" customFormat="false" ht="14.25" hidden="false" customHeight="false" outlineLevel="0" collapsed="false">
      <c r="A15" s="24"/>
      <c r="B15" s="26" t="n">
        <v>0.2</v>
      </c>
      <c r="C15" s="8" t="n">
        <v>4.7</v>
      </c>
      <c r="D15" s="8" t="n">
        <v>4.7</v>
      </c>
      <c r="E15" s="8" t="n">
        <v>4.2</v>
      </c>
      <c r="F15" s="8" t="n">
        <v>3.4</v>
      </c>
      <c r="G15" s="8" t="n">
        <v>3.4</v>
      </c>
      <c r="H15" s="8" t="n">
        <v>3.9</v>
      </c>
      <c r="I15" s="8" t="n">
        <v>3.7</v>
      </c>
      <c r="J15" s="8" t="n">
        <v>3.8</v>
      </c>
      <c r="K15" s="8" t="n">
        <v>2.7</v>
      </c>
      <c r="L15" s="8" t="n">
        <v>3.4</v>
      </c>
      <c r="M15" s="8" t="n">
        <f aca="false">AVERAGE(C15:L15)</f>
        <v>3.79</v>
      </c>
    </row>
    <row r="16" customFormat="false" ht="14.25" hidden="false" customHeight="false" outlineLevel="0" collapsed="false">
      <c r="A16" s="24"/>
      <c r="B16" s="26" t="n">
        <v>0.3</v>
      </c>
      <c r="C16" s="8" t="n">
        <v>5.4</v>
      </c>
      <c r="D16" s="8" t="n">
        <v>5.2</v>
      </c>
      <c r="E16" s="8" t="n">
        <v>5</v>
      </c>
      <c r="F16" s="8" t="n">
        <v>4.2</v>
      </c>
      <c r="G16" s="8" t="n">
        <v>5.1</v>
      </c>
      <c r="H16" s="8" t="n">
        <v>4.8</v>
      </c>
      <c r="I16" s="8" t="n">
        <v>4.9</v>
      </c>
      <c r="J16" s="8" t="n">
        <v>5.7</v>
      </c>
      <c r="K16" s="8" t="n">
        <v>4.4</v>
      </c>
      <c r="L16" s="8" t="n">
        <v>4.1</v>
      </c>
      <c r="M16" s="8" t="n">
        <f aca="false">AVERAGE(C16:L16)</f>
        <v>4.88</v>
      </c>
    </row>
    <row r="17" customFormat="false" ht="14.25" hidden="false" customHeight="false" outlineLevel="0" collapsed="false">
      <c r="A17" s="24"/>
      <c r="B17" s="26" t="n">
        <v>0.5</v>
      </c>
      <c r="C17" s="8" t="n">
        <v>6.6</v>
      </c>
      <c r="D17" s="8" t="n">
        <v>6</v>
      </c>
      <c r="E17" s="8" t="n">
        <v>8.3</v>
      </c>
      <c r="F17" s="8" t="n">
        <v>7.9</v>
      </c>
      <c r="G17" s="8" t="n">
        <v>7.6</v>
      </c>
      <c r="H17" s="8" t="n">
        <v>8.5</v>
      </c>
      <c r="I17" s="8" t="n">
        <v>8.2</v>
      </c>
      <c r="J17" s="8" t="n">
        <v>6.2</v>
      </c>
      <c r="K17" s="8" t="n">
        <v>6.3</v>
      </c>
      <c r="L17" s="8" t="n">
        <v>6</v>
      </c>
      <c r="M17" s="8" t="n">
        <f aca="false">AVERAGE(C17:L17)</f>
        <v>7.16</v>
      </c>
    </row>
    <row r="18" customFormat="false" ht="6" hidden="false" customHeight="true" outlineLevel="0" collapsed="false"/>
    <row r="19" customFormat="false" ht="6" hidden="false" customHeight="true" outlineLevel="0" collapsed="false"/>
    <row r="20" customFormat="false" ht="14.25" hidden="false" customHeight="true" outlineLevel="0" collapsed="false">
      <c r="B20" s="25" t="s">
        <v>26</v>
      </c>
      <c r="C20" s="29" t="s">
        <v>22</v>
      </c>
      <c r="D20" s="29"/>
      <c r="E20" s="29" t="s">
        <v>24</v>
      </c>
      <c r="F20" s="29"/>
      <c r="G20" s="29" t="s">
        <v>25</v>
      </c>
      <c r="H20" s="29"/>
    </row>
    <row r="21" customFormat="false" ht="14.25" hidden="false" customHeight="false" outlineLevel="0" collapsed="false">
      <c r="B21" s="25"/>
      <c r="C21" s="28" t="s">
        <v>21</v>
      </c>
      <c r="D21" s="28" t="s">
        <v>27</v>
      </c>
      <c r="E21" s="28" t="s">
        <v>21</v>
      </c>
      <c r="F21" s="28" t="s">
        <v>27</v>
      </c>
      <c r="G21" s="28" t="s">
        <v>21</v>
      </c>
      <c r="H21" s="28" t="s">
        <v>27</v>
      </c>
    </row>
    <row r="22" customFormat="false" ht="14.25" hidden="false" customHeight="false" outlineLevel="0" collapsed="false">
      <c r="B22" s="26" t="n">
        <v>0.1</v>
      </c>
      <c r="C22" s="14" t="n">
        <f aca="false">AVERAGE(C2:L2)</f>
        <v>1.26</v>
      </c>
      <c r="D22" s="14" t="n">
        <f aca="false">ROUND(_xlfn.STDEV.S(C2:L2),2)</f>
        <v>0.28</v>
      </c>
      <c r="E22" s="14" t="n">
        <f aca="false">AVERAGE(C8:L8)</f>
        <v>2.35</v>
      </c>
      <c r="F22" s="14" t="n">
        <f aca="false">ROUND(_xlfn.STDEV.S(C8:L8),2)</f>
        <v>0.49</v>
      </c>
      <c r="G22" s="14" t="n">
        <f aca="false">AVERAGE(C14:L14)</f>
        <v>3.24</v>
      </c>
      <c r="H22" s="14" t="n">
        <f aca="false">ROUND(_xlfn.STDEV.S(C14:L14),2)</f>
        <v>0.86</v>
      </c>
    </row>
    <row r="23" customFormat="false" ht="14.25" hidden="false" customHeight="false" outlineLevel="0" collapsed="false">
      <c r="B23" s="26" t="n">
        <v>0.2</v>
      </c>
      <c r="C23" s="14" t="n">
        <f aca="false">AVERAGE(C3:L3)</f>
        <v>1.5</v>
      </c>
      <c r="D23" s="14" t="n">
        <f aca="false">ROUND(_xlfn.STDEV.S(C3:L3),2)</f>
        <v>0.36</v>
      </c>
      <c r="E23" s="14" t="n">
        <f aca="false">AVERAGE(C9:L9)</f>
        <v>2.92</v>
      </c>
      <c r="F23" s="14" t="n">
        <f aca="false">ROUND(_xlfn.STDEV.S(C9:L9),2)</f>
        <v>0.52</v>
      </c>
      <c r="G23" s="14" t="n">
        <f aca="false">AVERAGE(C15:L15)</f>
        <v>3.79</v>
      </c>
      <c r="H23" s="14" t="n">
        <f aca="false">ROUND(_xlfn.STDEV.S(C15:L15),2)</f>
        <v>0.62</v>
      </c>
    </row>
    <row r="24" customFormat="false" ht="14.25" hidden="false" customHeight="false" outlineLevel="0" collapsed="false">
      <c r="B24" s="26" t="n">
        <v>0.3</v>
      </c>
      <c r="C24" s="14" t="n">
        <f aca="false">AVERAGE(C4:L4)</f>
        <v>1.92</v>
      </c>
      <c r="D24" s="14" t="n">
        <f aca="false">ROUND(_xlfn.STDEV.S(C4:L4),2)</f>
        <v>0.31</v>
      </c>
      <c r="E24" s="14" t="n">
        <f aca="false">AVERAGE(C10:L10)</f>
        <v>3.77</v>
      </c>
      <c r="F24" s="14" t="n">
        <f aca="false">ROUND(_xlfn.STDEV.S(C10:L10),2)</f>
        <v>0.47</v>
      </c>
      <c r="G24" s="14" t="n">
        <f aca="false">AVERAGE(C16:L16)</f>
        <v>4.88</v>
      </c>
      <c r="H24" s="14" t="n">
        <f aca="false">ROUND(_xlfn.STDEV.S(C16:L16),2)</f>
        <v>0.52</v>
      </c>
    </row>
    <row r="25" customFormat="false" ht="14.25" hidden="false" customHeight="false" outlineLevel="0" collapsed="false">
      <c r="B25" s="26" t="n">
        <v>0.5</v>
      </c>
      <c r="C25" s="14" t="n">
        <f aca="false">AVERAGE(C5:L5)</f>
        <v>2.77</v>
      </c>
      <c r="D25" s="14" t="n">
        <f aca="false">ROUND(_xlfn.STDEV.S(C5:L5),2)</f>
        <v>0.19</v>
      </c>
      <c r="E25" s="14" t="n">
        <f aca="false">AVERAGE(C11:L11)</f>
        <v>5.69</v>
      </c>
      <c r="F25" s="14" t="n">
        <f aca="false">ROUND(_xlfn.STDEV.S(C11:L11),2)</f>
        <v>0.43</v>
      </c>
      <c r="G25" s="14" t="n">
        <f aca="false">AVERAGE(C17:L17)</f>
        <v>7.16</v>
      </c>
      <c r="H25" s="14" t="n">
        <f aca="false">ROUND(_xlfn.STDEV.S(C17:L17),2)</f>
        <v>1.03</v>
      </c>
    </row>
    <row r="26" customFormat="false" ht="14.25" hidden="false" customHeight="false" outlineLevel="0" collapsed="false">
      <c r="B26" s="14" t="s">
        <v>0</v>
      </c>
      <c r="C26" s="14" t="n">
        <f aca="false">'Control Onion'!E10</f>
        <v>1.985</v>
      </c>
      <c r="D26" s="14" t="n">
        <f aca="false">'Control Onion'!F10</f>
        <v>0.61</v>
      </c>
      <c r="E26" s="14" t="n">
        <f aca="false">'Control Onion'!G10</f>
        <v>4.06</v>
      </c>
      <c r="F26" s="14" t="n">
        <f aca="false">'Control Onion'!H10</f>
        <v>1.07</v>
      </c>
      <c r="G26" s="14" t="n">
        <f aca="false">'Control Onion'!I10</f>
        <v>5.32</v>
      </c>
      <c r="H26" s="14" t="n">
        <f aca="false">'Control Onion'!J10</f>
        <v>1.13</v>
      </c>
    </row>
  </sheetData>
  <mergeCells count="7">
    <mergeCell ref="A1:A5"/>
    <mergeCell ref="A7:A11"/>
    <mergeCell ref="A13:A17"/>
    <mergeCell ref="B20:B21"/>
    <mergeCell ref="C20:D20"/>
    <mergeCell ref="E20:F20"/>
    <mergeCell ref="G20:H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6"/>
  <sheetViews>
    <sheetView showFormulas="false" showGridLines="true" showRowColHeaders="true" showZeros="true" rightToLeft="false" tabSelected="false" showOutlineSymbols="true" defaultGridColor="true" view="normal" topLeftCell="A1" colorId="64" zoomScale="68" zoomScaleNormal="68" zoomScalePageLayoutView="100" workbookViewId="0">
      <selection pane="topLeft" activeCell="C26" activeCellId="0" sqref="C26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3"/>
    <col collapsed="false" customWidth="true" hidden="false" outlineLevel="0" max="39" min="3" style="0" width="9.63"/>
  </cols>
  <sheetData>
    <row r="1" customFormat="false" ht="15" hidden="false" customHeight="true" outlineLevel="0" collapsed="false">
      <c r="A1" s="24" t="s">
        <v>22</v>
      </c>
      <c r="B1" s="25" t="s">
        <v>28</v>
      </c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8</v>
      </c>
      <c r="K1" s="25" t="s">
        <v>9</v>
      </c>
      <c r="L1" s="25" t="s">
        <v>10</v>
      </c>
      <c r="M1" s="25" t="s">
        <v>21</v>
      </c>
    </row>
    <row r="2" customFormat="false" ht="15" hidden="false" customHeight="true" outlineLevel="0" collapsed="false">
      <c r="A2" s="24"/>
      <c r="B2" s="26" t="n">
        <v>0.1</v>
      </c>
      <c r="C2" s="8" t="n">
        <v>2.4</v>
      </c>
      <c r="D2" s="8" t="n">
        <v>2.9</v>
      </c>
      <c r="E2" s="8" t="n">
        <v>2.7</v>
      </c>
      <c r="F2" s="8" t="n">
        <v>2.4</v>
      </c>
      <c r="G2" s="8" t="n">
        <v>2.1</v>
      </c>
      <c r="H2" s="8" t="n">
        <v>2.2</v>
      </c>
      <c r="I2" s="8" t="n">
        <v>3.1</v>
      </c>
      <c r="J2" s="8" t="n">
        <v>2.2</v>
      </c>
      <c r="K2" s="8" t="n">
        <v>1.9</v>
      </c>
      <c r="L2" s="8" t="n">
        <v>1.5</v>
      </c>
      <c r="M2" s="8" t="n">
        <f aca="false">AVERAGE(C2:L2)</f>
        <v>2.34</v>
      </c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</row>
    <row r="3" customFormat="false" ht="15" hidden="false" customHeight="true" outlineLevel="0" collapsed="false">
      <c r="A3" s="24"/>
      <c r="B3" s="26" t="n">
        <v>0.2</v>
      </c>
      <c r="C3" s="8" t="n">
        <v>1.9</v>
      </c>
      <c r="D3" s="8" t="n">
        <v>1.9</v>
      </c>
      <c r="E3" s="8" t="n">
        <v>2.2</v>
      </c>
      <c r="F3" s="8" t="n">
        <v>2</v>
      </c>
      <c r="G3" s="8" t="n">
        <v>2</v>
      </c>
      <c r="H3" s="8" t="n">
        <v>2.1</v>
      </c>
      <c r="I3" s="8" t="n">
        <v>1.5</v>
      </c>
      <c r="J3" s="8" t="n">
        <v>1.9</v>
      </c>
      <c r="K3" s="8" t="n">
        <v>1.8</v>
      </c>
      <c r="L3" s="8" t="n">
        <v>2</v>
      </c>
      <c r="M3" s="8" t="n">
        <f aca="false">AVERAGE(C3:L3)</f>
        <v>1.93</v>
      </c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customFormat="false" ht="15" hidden="false" customHeight="true" outlineLevel="0" collapsed="false">
      <c r="A4" s="24"/>
      <c r="B4" s="26" t="n">
        <v>0.3</v>
      </c>
      <c r="C4" s="8" t="n">
        <v>2.4</v>
      </c>
      <c r="D4" s="8" t="n">
        <v>1.9</v>
      </c>
      <c r="E4" s="8" t="n">
        <v>2.1</v>
      </c>
      <c r="F4" s="8" t="n">
        <v>2.3</v>
      </c>
      <c r="G4" s="8" t="n">
        <v>1.9</v>
      </c>
      <c r="H4" s="8" t="n">
        <v>2</v>
      </c>
      <c r="I4" s="8" t="n">
        <v>1.6</v>
      </c>
      <c r="J4" s="8" t="n">
        <v>1.7</v>
      </c>
      <c r="K4" s="8" t="n">
        <v>2.3</v>
      </c>
      <c r="L4" s="8" t="n">
        <v>2</v>
      </c>
      <c r="M4" s="8" t="n">
        <f aca="false">AVERAGE(C4:L4)</f>
        <v>2.02</v>
      </c>
    </row>
    <row r="5" customFormat="false" ht="15" hidden="false" customHeight="true" outlineLevel="0" collapsed="false">
      <c r="A5" s="24"/>
      <c r="B5" s="26" t="n">
        <v>0.5</v>
      </c>
      <c r="C5" s="8" t="n">
        <v>3.5</v>
      </c>
      <c r="D5" s="8" t="n">
        <v>3.5</v>
      </c>
      <c r="E5" s="8" t="n">
        <v>2.3</v>
      </c>
      <c r="F5" s="8" t="n">
        <v>2.4</v>
      </c>
      <c r="G5" s="8" t="n">
        <v>2.5</v>
      </c>
      <c r="H5" s="8" t="n">
        <v>2.4</v>
      </c>
      <c r="I5" s="8" t="n">
        <v>2.2</v>
      </c>
      <c r="J5" s="8" t="n">
        <v>1.7</v>
      </c>
      <c r="K5" s="8" t="n">
        <v>1.5</v>
      </c>
      <c r="L5" s="8" t="n">
        <v>1.4</v>
      </c>
      <c r="M5" s="8" t="n">
        <f aca="false">AVERAGE(C5:L5)</f>
        <v>2.34</v>
      </c>
    </row>
    <row r="7" customFormat="false" ht="14.25" hidden="false" customHeight="false" outlineLevel="0" collapsed="false">
      <c r="A7" s="24" t="s">
        <v>24</v>
      </c>
      <c r="B7" s="25" t="s">
        <v>28</v>
      </c>
      <c r="C7" s="25" t="s">
        <v>1</v>
      </c>
      <c r="D7" s="25" t="s">
        <v>2</v>
      </c>
      <c r="E7" s="25" t="s">
        <v>3</v>
      </c>
      <c r="F7" s="25" t="s">
        <v>4</v>
      </c>
      <c r="G7" s="25" t="s">
        <v>5</v>
      </c>
      <c r="H7" s="25" t="s">
        <v>6</v>
      </c>
      <c r="I7" s="25" t="s">
        <v>7</v>
      </c>
      <c r="J7" s="25" t="s">
        <v>8</v>
      </c>
      <c r="K7" s="25" t="s">
        <v>9</v>
      </c>
      <c r="L7" s="25" t="s">
        <v>10</v>
      </c>
      <c r="M7" s="25" t="s">
        <v>21</v>
      </c>
    </row>
    <row r="8" customFormat="false" ht="14.25" hidden="false" customHeight="false" outlineLevel="0" collapsed="false">
      <c r="A8" s="24"/>
      <c r="B8" s="26" t="n">
        <v>0.1</v>
      </c>
      <c r="C8" s="8" t="n">
        <v>5.9</v>
      </c>
      <c r="D8" s="8" t="n">
        <v>6.1</v>
      </c>
      <c r="E8" s="8" t="n">
        <v>6</v>
      </c>
      <c r="F8" s="8" t="n">
        <v>5.4</v>
      </c>
      <c r="G8" s="8" t="n">
        <v>5.5</v>
      </c>
      <c r="H8" s="8" t="n">
        <v>5</v>
      </c>
      <c r="I8" s="8" t="n">
        <v>5.1</v>
      </c>
      <c r="J8" s="8" t="n">
        <v>4.2</v>
      </c>
      <c r="K8" s="8" t="n">
        <v>5.1</v>
      </c>
      <c r="L8" s="8" t="n">
        <v>4.4</v>
      </c>
      <c r="M8" s="8" t="n">
        <f aca="false">AVERAGE(C8:L8)</f>
        <v>5.27</v>
      </c>
    </row>
    <row r="9" customFormat="false" ht="14.25" hidden="false" customHeight="false" outlineLevel="0" collapsed="false">
      <c r="A9" s="24"/>
      <c r="B9" s="26" t="n">
        <v>0.2</v>
      </c>
      <c r="C9" s="8" t="n">
        <v>4.2</v>
      </c>
      <c r="D9" s="8" t="n">
        <v>3.4</v>
      </c>
      <c r="E9" s="8" t="n">
        <v>3.1</v>
      </c>
      <c r="F9" s="8" t="n">
        <v>3</v>
      </c>
      <c r="G9" s="8" t="n">
        <v>4.3</v>
      </c>
      <c r="H9" s="8" t="n">
        <v>4.1</v>
      </c>
      <c r="I9" s="8" t="n">
        <v>3.7</v>
      </c>
      <c r="J9" s="8" t="n">
        <v>4.1</v>
      </c>
      <c r="K9" s="8" t="n">
        <v>4.1</v>
      </c>
      <c r="L9" s="8" t="n">
        <v>4.5</v>
      </c>
      <c r="M9" s="8" t="n">
        <f aca="false">AVERAGE(C9:L9)</f>
        <v>3.85</v>
      </c>
    </row>
    <row r="10" customFormat="false" ht="14.25" hidden="false" customHeight="false" outlineLevel="0" collapsed="false">
      <c r="A10" s="24"/>
      <c r="B10" s="26" t="n">
        <v>0.3</v>
      </c>
      <c r="C10" s="8" t="n">
        <v>6.2</v>
      </c>
      <c r="D10" s="8" t="n">
        <v>5.6</v>
      </c>
      <c r="E10" s="8" t="n">
        <v>5.5</v>
      </c>
      <c r="F10" s="8" t="n">
        <v>6.3</v>
      </c>
      <c r="G10" s="8" t="n">
        <v>5.9</v>
      </c>
      <c r="H10" s="8" t="n">
        <v>6.3</v>
      </c>
      <c r="I10" s="8" t="n">
        <v>5.4</v>
      </c>
      <c r="J10" s="8" t="n">
        <v>5.7</v>
      </c>
      <c r="K10" s="8" t="n">
        <v>6.5</v>
      </c>
      <c r="L10" s="8" t="n">
        <v>6.5</v>
      </c>
      <c r="M10" s="8" t="n">
        <f aca="false">AVERAGE(C10:L10)</f>
        <v>5.99</v>
      </c>
    </row>
    <row r="11" customFormat="false" ht="14.25" hidden="false" customHeight="false" outlineLevel="0" collapsed="false">
      <c r="A11" s="24"/>
      <c r="B11" s="26" t="n">
        <v>0.5</v>
      </c>
      <c r="C11" s="8" t="n">
        <v>7</v>
      </c>
      <c r="D11" s="8" t="n">
        <v>7.1</v>
      </c>
      <c r="E11" s="8" t="n">
        <v>7.6</v>
      </c>
      <c r="F11" s="8" t="n">
        <v>6.5</v>
      </c>
      <c r="G11" s="8" t="n">
        <v>6</v>
      </c>
      <c r="H11" s="8" t="n">
        <v>4.5</v>
      </c>
      <c r="I11" s="8" t="n">
        <v>6.8</v>
      </c>
      <c r="J11" s="8" t="n">
        <v>6.8</v>
      </c>
      <c r="K11" s="8" t="n">
        <v>4.6</v>
      </c>
      <c r="L11" s="8" t="n">
        <v>4.4</v>
      </c>
      <c r="M11" s="8" t="n">
        <f aca="false">AVERAGE(C11:L11)</f>
        <v>6.13</v>
      </c>
    </row>
    <row r="13" customFormat="false" ht="14.25" hidden="false" customHeight="false" outlineLevel="0" collapsed="false">
      <c r="A13" s="24" t="s">
        <v>25</v>
      </c>
      <c r="B13" s="25" t="s">
        <v>28</v>
      </c>
      <c r="C13" s="25" t="s">
        <v>1</v>
      </c>
      <c r="D13" s="25" t="s">
        <v>2</v>
      </c>
      <c r="E13" s="25" t="s">
        <v>3</v>
      </c>
      <c r="F13" s="25" t="s">
        <v>4</v>
      </c>
      <c r="G13" s="25" t="s">
        <v>5</v>
      </c>
      <c r="H13" s="25" t="s">
        <v>6</v>
      </c>
      <c r="I13" s="25" t="s">
        <v>7</v>
      </c>
      <c r="J13" s="25" t="s">
        <v>8</v>
      </c>
      <c r="K13" s="25" t="s">
        <v>9</v>
      </c>
      <c r="L13" s="25" t="s">
        <v>10</v>
      </c>
      <c r="M13" s="25" t="s">
        <v>21</v>
      </c>
    </row>
    <row r="14" customFormat="false" ht="14.25" hidden="false" customHeight="false" outlineLevel="0" collapsed="false">
      <c r="A14" s="24"/>
      <c r="B14" s="26" t="n">
        <v>0.1</v>
      </c>
      <c r="C14" s="8" t="n">
        <v>6.1</v>
      </c>
      <c r="D14" s="8" t="n">
        <v>5.6</v>
      </c>
      <c r="E14" s="8" t="n">
        <v>5.3</v>
      </c>
      <c r="F14" s="8" t="n">
        <v>5.1</v>
      </c>
      <c r="G14" s="8" t="n">
        <v>5.9</v>
      </c>
      <c r="H14" s="8" t="n">
        <v>5.4</v>
      </c>
      <c r="I14" s="8" t="n">
        <v>4.9</v>
      </c>
      <c r="J14" s="8" t="n">
        <v>7.2</v>
      </c>
      <c r="K14" s="8" t="n">
        <v>6.3</v>
      </c>
      <c r="L14" s="8" t="n">
        <v>6.4</v>
      </c>
      <c r="M14" s="8" t="n">
        <f aca="false">AVERAGE(C14:L14)</f>
        <v>5.82</v>
      </c>
    </row>
    <row r="15" customFormat="false" ht="14.25" hidden="false" customHeight="false" outlineLevel="0" collapsed="false">
      <c r="A15" s="24"/>
      <c r="B15" s="26" t="n">
        <v>0.2</v>
      </c>
      <c r="C15" s="8" t="n">
        <v>5.2</v>
      </c>
      <c r="D15" s="8" t="n">
        <v>4.1</v>
      </c>
      <c r="E15" s="8" t="n">
        <v>4</v>
      </c>
      <c r="F15" s="8" t="n">
        <v>4</v>
      </c>
      <c r="G15" s="8" t="n">
        <v>3.6</v>
      </c>
      <c r="H15" s="8" t="n">
        <v>3.6</v>
      </c>
      <c r="I15" s="8" t="n">
        <v>4.8</v>
      </c>
      <c r="J15" s="8" t="n">
        <v>4.5</v>
      </c>
      <c r="K15" s="8" t="n">
        <v>4.2</v>
      </c>
      <c r="L15" s="8" t="n">
        <v>4.3</v>
      </c>
      <c r="M15" s="8" t="n">
        <f aca="false">AVERAGE(C15:L15)</f>
        <v>4.23</v>
      </c>
    </row>
    <row r="16" customFormat="false" ht="14.25" hidden="false" customHeight="false" outlineLevel="0" collapsed="false">
      <c r="A16" s="24"/>
      <c r="B16" s="26" t="n">
        <v>0.3</v>
      </c>
      <c r="C16" s="8" t="n">
        <v>8.2</v>
      </c>
      <c r="D16" s="8" t="n">
        <v>8</v>
      </c>
      <c r="E16" s="8" t="n">
        <v>6.8</v>
      </c>
      <c r="F16" s="8" t="n">
        <v>7.3</v>
      </c>
      <c r="G16" s="8" t="n">
        <v>6.5</v>
      </c>
      <c r="H16" s="8" t="n">
        <v>6.1</v>
      </c>
      <c r="I16" s="8" t="n">
        <v>7.8</v>
      </c>
      <c r="J16" s="8" t="n">
        <v>7.6</v>
      </c>
      <c r="K16" s="8" t="n">
        <v>7.2</v>
      </c>
      <c r="L16" s="8" t="n">
        <v>7.4</v>
      </c>
      <c r="M16" s="8" t="n">
        <f aca="false">AVERAGE(C16:L16)</f>
        <v>7.29</v>
      </c>
    </row>
    <row r="17" customFormat="false" ht="14.25" hidden="false" customHeight="false" outlineLevel="0" collapsed="false">
      <c r="A17" s="24"/>
      <c r="B17" s="26" t="n">
        <v>0.5</v>
      </c>
      <c r="C17" s="8" t="n">
        <v>8.3</v>
      </c>
      <c r="D17" s="8" t="n">
        <v>5.9</v>
      </c>
      <c r="E17" s="8" t="n">
        <v>6.7</v>
      </c>
      <c r="F17" s="8" t="n">
        <v>7.2</v>
      </c>
      <c r="G17" s="8" t="n">
        <v>5.7</v>
      </c>
      <c r="H17" s="8" t="n">
        <v>5.8</v>
      </c>
      <c r="I17" s="8" t="n">
        <v>5.1</v>
      </c>
      <c r="J17" s="8" t="n">
        <v>6.6</v>
      </c>
      <c r="K17" s="8" t="n">
        <v>6.8</v>
      </c>
      <c r="L17" s="8" t="n">
        <v>6.9</v>
      </c>
      <c r="M17" s="8" t="n">
        <f aca="false">AVERAGE(C17:L17)</f>
        <v>6.5</v>
      </c>
    </row>
    <row r="18" customFormat="false" ht="4.5" hidden="false" customHeight="true" outlineLevel="0" collapsed="false"/>
    <row r="19" customFormat="false" ht="6" hidden="false" customHeight="true" outlineLevel="0" collapsed="false"/>
    <row r="20" customFormat="false" ht="14.25" hidden="false" customHeight="true" outlineLevel="0" collapsed="false">
      <c r="B20" s="25" t="s">
        <v>26</v>
      </c>
      <c r="C20" s="29" t="s">
        <v>22</v>
      </c>
      <c r="D20" s="29"/>
      <c r="E20" s="29" t="s">
        <v>24</v>
      </c>
      <c r="F20" s="29"/>
      <c r="G20" s="29" t="s">
        <v>25</v>
      </c>
      <c r="H20" s="29"/>
    </row>
    <row r="21" customFormat="false" ht="14.25" hidden="false" customHeight="false" outlineLevel="0" collapsed="false">
      <c r="B21" s="25"/>
      <c r="C21" s="28" t="s">
        <v>21</v>
      </c>
      <c r="D21" s="28" t="s">
        <v>27</v>
      </c>
      <c r="E21" s="28" t="s">
        <v>21</v>
      </c>
      <c r="F21" s="28" t="s">
        <v>27</v>
      </c>
      <c r="G21" s="28" t="s">
        <v>21</v>
      </c>
      <c r="H21" s="28" t="s">
        <v>27</v>
      </c>
    </row>
    <row r="22" customFormat="false" ht="14.25" hidden="false" customHeight="false" outlineLevel="0" collapsed="false">
      <c r="B22" s="26" t="n">
        <v>0.1</v>
      </c>
      <c r="C22" s="14" t="n">
        <f aca="false">AVERAGE(C2:L2)</f>
        <v>2.34</v>
      </c>
      <c r="D22" s="14" t="n">
        <f aca="false">ROUND(_xlfn.STDEV.S(C2:L2),2)</f>
        <v>0.47</v>
      </c>
      <c r="E22" s="14" t="n">
        <f aca="false">AVERAGE(C8:L8)</f>
        <v>5.27</v>
      </c>
      <c r="F22" s="14" t="n">
        <f aca="false">ROUND(_xlfn.STDEV.S(C8:L8),2)</f>
        <v>0.64</v>
      </c>
      <c r="G22" s="14" t="n">
        <f aca="false">AVERAGE(C14:L14)</f>
        <v>5.82</v>
      </c>
      <c r="H22" s="14" t="n">
        <f aca="false">ROUND(_xlfn.STDEV.S(C14:L14),2)</f>
        <v>0.7</v>
      </c>
    </row>
    <row r="23" customFormat="false" ht="14.25" hidden="false" customHeight="false" outlineLevel="0" collapsed="false">
      <c r="B23" s="26" t="n">
        <v>0.2</v>
      </c>
      <c r="C23" s="14" t="n">
        <f aca="false">AVERAGE(C3:L3)</f>
        <v>1.93</v>
      </c>
      <c r="D23" s="14" t="n">
        <f aca="false">ROUND(_xlfn.STDEV.S(C3:L3),2)</f>
        <v>0.19</v>
      </c>
      <c r="E23" s="14" t="n">
        <f aca="false">AVERAGE(C9:L9)</f>
        <v>3.85</v>
      </c>
      <c r="F23" s="14" t="n">
        <f aca="false">ROUND(_xlfn.STDEV.S(C9:L9),2)</f>
        <v>0.52</v>
      </c>
      <c r="G23" s="14" t="n">
        <f aca="false">AVERAGE(C15:L15)</f>
        <v>4.23</v>
      </c>
      <c r="H23" s="14" t="n">
        <f aca="false">ROUND(_xlfn.STDEV.S(C15:L15),2)</f>
        <v>0.5</v>
      </c>
    </row>
    <row r="24" customFormat="false" ht="14.25" hidden="false" customHeight="false" outlineLevel="0" collapsed="false">
      <c r="B24" s="26" t="n">
        <v>0.3</v>
      </c>
      <c r="C24" s="14" t="n">
        <f aca="false">AVERAGE(C4:L4)</f>
        <v>2.02</v>
      </c>
      <c r="D24" s="14" t="n">
        <f aca="false">ROUND(_xlfn.STDEV.S(C4:L4),2)</f>
        <v>0.26</v>
      </c>
      <c r="E24" s="14" t="n">
        <f aca="false">AVERAGE(C10:L10)</f>
        <v>5.99</v>
      </c>
      <c r="F24" s="14" t="n">
        <f aca="false">ROUND(_xlfn.STDEV.S(C10:L10),2)</f>
        <v>0.42</v>
      </c>
      <c r="G24" s="14" t="n">
        <f aca="false">AVERAGE(C16:L16)</f>
        <v>7.29</v>
      </c>
      <c r="H24" s="14" t="n">
        <f aca="false">ROUND(_xlfn.STDEV.S(C16:L16),2)</f>
        <v>0.67</v>
      </c>
    </row>
    <row r="25" customFormat="false" ht="14.25" hidden="false" customHeight="false" outlineLevel="0" collapsed="false">
      <c r="B25" s="26" t="n">
        <v>0.5</v>
      </c>
      <c r="C25" s="14" t="n">
        <f aca="false">AVERAGE(C5:L5)</f>
        <v>2.34</v>
      </c>
      <c r="D25" s="14" t="n">
        <f aca="false">ROUND(_xlfn.STDEV.S(C5:L5),2)</f>
        <v>0.73</v>
      </c>
      <c r="E25" s="14" t="n">
        <f aca="false">AVERAGE(C11:L11)</f>
        <v>6.13</v>
      </c>
      <c r="F25" s="14" t="n">
        <f aca="false">ROUND(_xlfn.STDEV.S(C11:L11),2)</f>
        <v>1.2</v>
      </c>
      <c r="G25" s="14" t="n">
        <f aca="false">AVERAGE(C17:L17)</f>
        <v>6.5</v>
      </c>
      <c r="H25" s="14" t="n">
        <f aca="false">ROUND(_xlfn.STDEV.S(C17:L17),2)</f>
        <v>0.91</v>
      </c>
    </row>
    <row r="26" customFormat="false" ht="14.25" hidden="false" customHeight="false" outlineLevel="0" collapsed="false">
      <c r="B26" s="14" t="s">
        <v>0</v>
      </c>
      <c r="C26" s="14" t="n">
        <f aca="false">'Control Onion'!E10</f>
        <v>1.985</v>
      </c>
      <c r="D26" s="14" t="n">
        <f aca="false">'Control Onion'!F10</f>
        <v>0.61</v>
      </c>
      <c r="E26" s="14" t="n">
        <f aca="false">'Control Onion'!G10</f>
        <v>4.06</v>
      </c>
      <c r="F26" s="14" t="n">
        <f aca="false">'Control Onion'!H10</f>
        <v>1.07</v>
      </c>
      <c r="G26" s="14" t="n">
        <f aca="false">'Control Onion'!I10</f>
        <v>5.32</v>
      </c>
      <c r="H26" s="14" t="n">
        <f aca="false">'Control Onion'!J10</f>
        <v>1.13</v>
      </c>
    </row>
  </sheetData>
  <mergeCells count="7">
    <mergeCell ref="A1:A5"/>
    <mergeCell ref="A7:A11"/>
    <mergeCell ref="A13:A17"/>
    <mergeCell ref="B20:B21"/>
    <mergeCell ref="C20:D20"/>
    <mergeCell ref="E20:F20"/>
    <mergeCell ref="G20:H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6"/>
  <sheetViews>
    <sheetView showFormulas="false" showGridLines="true" showRowColHeaders="true" showZeros="true" rightToLeft="false" tabSelected="false" showOutlineSymbols="true" defaultGridColor="true" view="normal" topLeftCell="A12" colorId="64" zoomScale="98" zoomScaleNormal="98" zoomScalePageLayoutView="100" workbookViewId="0">
      <selection pane="topLeft" activeCell="C26" activeCellId="0" sqref="C26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3"/>
    <col collapsed="false" customWidth="true" hidden="false" outlineLevel="0" max="39" min="3" style="0" width="9.63"/>
  </cols>
  <sheetData>
    <row r="1" customFormat="false" ht="15" hidden="false" customHeight="true" outlineLevel="0" collapsed="false">
      <c r="A1" s="24" t="s">
        <v>22</v>
      </c>
      <c r="B1" s="25" t="s">
        <v>28</v>
      </c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8</v>
      </c>
      <c r="K1" s="25" t="s">
        <v>9</v>
      </c>
      <c r="L1" s="25" t="s">
        <v>10</v>
      </c>
      <c r="M1" s="25" t="s">
        <v>21</v>
      </c>
    </row>
    <row r="2" customFormat="false" ht="15" hidden="false" customHeight="true" outlineLevel="0" collapsed="false">
      <c r="A2" s="24"/>
      <c r="B2" s="26" t="n">
        <v>0.1</v>
      </c>
      <c r="C2" s="8" t="n">
        <v>1.8</v>
      </c>
      <c r="D2" s="8" t="n">
        <v>1.8</v>
      </c>
      <c r="E2" s="8" t="n">
        <v>1.8</v>
      </c>
      <c r="F2" s="8" t="n">
        <v>1.7</v>
      </c>
      <c r="G2" s="8" t="n">
        <v>2.4</v>
      </c>
      <c r="H2" s="8" t="n">
        <v>1.8</v>
      </c>
      <c r="I2" s="8" t="n">
        <v>1.6</v>
      </c>
      <c r="J2" s="8" t="n">
        <v>1.5</v>
      </c>
      <c r="K2" s="8" t="n">
        <v>1.2</v>
      </c>
      <c r="L2" s="8" t="n">
        <v>1.5</v>
      </c>
      <c r="M2" s="8" t="n">
        <f aca="false">AVERAGE(C2:L2)</f>
        <v>1.71</v>
      </c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</row>
    <row r="3" customFormat="false" ht="15" hidden="false" customHeight="true" outlineLevel="0" collapsed="false">
      <c r="A3" s="24"/>
      <c r="B3" s="26" t="n">
        <v>0.2</v>
      </c>
      <c r="C3" s="8" t="n">
        <v>3.6</v>
      </c>
      <c r="D3" s="8" t="n">
        <v>2.8</v>
      </c>
      <c r="E3" s="8" t="n">
        <v>2.4</v>
      </c>
      <c r="F3" s="8" t="n">
        <v>1.8</v>
      </c>
      <c r="G3" s="8" t="n">
        <v>2.3</v>
      </c>
      <c r="H3" s="8" t="n">
        <v>1.6</v>
      </c>
      <c r="I3" s="8" t="n">
        <v>1.5</v>
      </c>
      <c r="J3" s="8" t="n">
        <v>1.4</v>
      </c>
      <c r="K3" s="8" t="n">
        <v>1.2</v>
      </c>
      <c r="L3" s="8" t="n">
        <v>1.3</v>
      </c>
      <c r="M3" s="8" t="n">
        <f aca="false">AVERAGE(C3:L3)</f>
        <v>1.99</v>
      </c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customFormat="false" ht="15" hidden="false" customHeight="true" outlineLevel="0" collapsed="false">
      <c r="A4" s="24"/>
      <c r="B4" s="26" t="n">
        <v>0.3</v>
      </c>
      <c r="C4" s="8" t="n">
        <v>2.4</v>
      </c>
      <c r="D4" s="8" t="n">
        <v>1.8</v>
      </c>
      <c r="E4" s="8" t="n">
        <v>2.2</v>
      </c>
      <c r="F4" s="8" t="n">
        <v>2</v>
      </c>
      <c r="G4" s="8" t="n">
        <v>2</v>
      </c>
      <c r="H4" s="8" t="n">
        <v>1.7</v>
      </c>
      <c r="I4" s="8" t="n">
        <v>1.8</v>
      </c>
      <c r="J4" s="8" t="n">
        <v>1.7</v>
      </c>
      <c r="K4" s="8" t="n">
        <v>1.7</v>
      </c>
      <c r="L4" s="8" t="n">
        <v>1.9</v>
      </c>
      <c r="M4" s="8" t="n">
        <f aca="false">AVERAGE(C4:L4)</f>
        <v>1.92</v>
      </c>
    </row>
    <row r="5" customFormat="false" ht="15" hidden="false" customHeight="true" outlineLevel="0" collapsed="false">
      <c r="A5" s="24"/>
      <c r="B5" s="26" t="n">
        <v>0.5</v>
      </c>
      <c r="C5" s="8" t="n">
        <v>2</v>
      </c>
      <c r="D5" s="8" t="n">
        <v>2.1</v>
      </c>
      <c r="E5" s="8" t="n">
        <v>2.1</v>
      </c>
      <c r="F5" s="8" t="n">
        <v>2.5</v>
      </c>
      <c r="G5" s="8" t="n">
        <v>2.1</v>
      </c>
      <c r="H5" s="8" t="n">
        <v>1.9</v>
      </c>
      <c r="I5" s="8" t="n">
        <v>2.4</v>
      </c>
      <c r="J5" s="8" t="n">
        <v>1.7</v>
      </c>
      <c r="K5" s="8" t="n">
        <v>1.6</v>
      </c>
      <c r="L5" s="8" t="n">
        <v>1.7</v>
      </c>
      <c r="M5" s="8" t="n">
        <f aca="false">AVERAGE(C5:L5)</f>
        <v>2.01</v>
      </c>
    </row>
    <row r="7" customFormat="false" ht="14.25" hidden="false" customHeight="false" outlineLevel="0" collapsed="false">
      <c r="A7" s="24" t="s">
        <v>24</v>
      </c>
      <c r="B7" s="25" t="s">
        <v>28</v>
      </c>
      <c r="C7" s="25" t="s">
        <v>1</v>
      </c>
      <c r="D7" s="25" t="s">
        <v>2</v>
      </c>
      <c r="E7" s="25" t="s">
        <v>3</v>
      </c>
      <c r="F7" s="25" t="s">
        <v>4</v>
      </c>
      <c r="G7" s="25" t="s">
        <v>5</v>
      </c>
      <c r="H7" s="25" t="s">
        <v>6</v>
      </c>
      <c r="I7" s="25" t="s">
        <v>7</v>
      </c>
      <c r="J7" s="25" t="s">
        <v>8</v>
      </c>
      <c r="K7" s="25" t="s">
        <v>9</v>
      </c>
      <c r="L7" s="25" t="s">
        <v>10</v>
      </c>
      <c r="M7" s="25" t="s">
        <v>21</v>
      </c>
    </row>
    <row r="8" customFormat="false" ht="14.25" hidden="false" customHeight="false" outlineLevel="0" collapsed="false">
      <c r="A8" s="24"/>
      <c r="B8" s="26" t="n">
        <v>0.1</v>
      </c>
      <c r="C8" s="8" t="n">
        <v>5.9</v>
      </c>
      <c r="D8" s="8" t="n">
        <v>5.8</v>
      </c>
      <c r="E8" s="8" t="n">
        <v>4.3</v>
      </c>
      <c r="F8" s="8" t="n">
        <v>5</v>
      </c>
      <c r="G8" s="8" t="n">
        <v>4.4</v>
      </c>
      <c r="H8" s="8" t="n">
        <v>5.3</v>
      </c>
      <c r="I8" s="8" t="n">
        <v>3.3</v>
      </c>
      <c r="J8" s="8" t="n">
        <v>4.7</v>
      </c>
      <c r="K8" s="8" t="n">
        <v>5.7</v>
      </c>
      <c r="L8" s="8" t="n">
        <v>3.9</v>
      </c>
      <c r="M8" s="8" t="n">
        <f aca="false">AVERAGE(C8:L8)</f>
        <v>4.83</v>
      </c>
    </row>
    <row r="9" customFormat="false" ht="14.25" hidden="false" customHeight="false" outlineLevel="0" collapsed="false">
      <c r="A9" s="24"/>
      <c r="B9" s="26" t="n">
        <v>0.2</v>
      </c>
      <c r="C9" s="8" t="n">
        <v>5.1</v>
      </c>
      <c r="D9" s="8" t="n">
        <v>4.5</v>
      </c>
      <c r="E9" s="8" t="n">
        <v>5.5</v>
      </c>
      <c r="F9" s="8" t="n">
        <v>4.5</v>
      </c>
      <c r="G9" s="8" t="n">
        <v>4.4</v>
      </c>
      <c r="H9" s="8" t="n">
        <v>4</v>
      </c>
      <c r="I9" s="8" t="n">
        <v>3.6</v>
      </c>
      <c r="J9" s="8" t="n">
        <v>4.1</v>
      </c>
      <c r="K9" s="8" t="n">
        <v>3.8</v>
      </c>
      <c r="L9" s="8" t="n">
        <v>4.6</v>
      </c>
      <c r="M9" s="8" t="n">
        <f aca="false">AVERAGE(C9:L9)</f>
        <v>4.41</v>
      </c>
    </row>
    <row r="10" customFormat="false" ht="14.25" hidden="false" customHeight="false" outlineLevel="0" collapsed="false">
      <c r="A10" s="24"/>
      <c r="B10" s="26" t="n">
        <v>0.3</v>
      </c>
      <c r="C10" s="8" t="n">
        <v>5.6</v>
      </c>
      <c r="D10" s="8" t="n">
        <v>4.6</v>
      </c>
      <c r="E10" s="8" t="n">
        <v>5.1</v>
      </c>
      <c r="F10" s="8" t="n">
        <v>5.9</v>
      </c>
      <c r="G10" s="8" t="n">
        <v>5</v>
      </c>
      <c r="H10" s="8" t="n">
        <v>5</v>
      </c>
      <c r="I10" s="8" t="n">
        <v>4.9</v>
      </c>
      <c r="J10" s="8" t="n">
        <v>5</v>
      </c>
      <c r="K10" s="8" t="n">
        <v>5.9</v>
      </c>
      <c r="L10" s="8" t="n">
        <v>5</v>
      </c>
      <c r="M10" s="8" t="n">
        <f aca="false">AVERAGE(C10:L10)</f>
        <v>5.2</v>
      </c>
    </row>
    <row r="11" customFormat="false" ht="14.25" hidden="false" customHeight="false" outlineLevel="0" collapsed="false">
      <c r="A11" s="24"/>
      <c r="B11" s="26" t="n">
        <v>0.5</v>
      </c>
      <c r="C11" s="8" t="n">
        <v>5</v>
      </c>
      <c r="D11" s="8" t="n">
        <v>4.9</v>
      </c>
      <c r="E11" s="8" t="n">
        <v>4.3</v>
      </c>
      <c r="F11" s="8" t="n">
        <v>4.2</v>
      </c>
      <c r="G11" s="8" t="n">
        <v>4.3</v>
      </c>
      <c r="H11" s="8" t="n">
        <v>4.4</v>
      </c>
      <c r="I11" s="8" t="n">
        <v>4.7</v>
      </c>
      <c r="J11" s="8" t="n">
        <v>5.2</v>
      </c>
      <c r="K11" s="8" t="n">
        <v>6.2</v>
      </c>
      <c r="L11" s="8" t="n">
        <v>4.6</v>
      </c>
      <c r="M11" s="8" t="n">
        <f aca="false">AVERAGE(C11:L11)</f>
        <v>4.78</v>
      </c>
    </row>
    <row r="13" customFormat="false" ht="14.25" hidden="false" customHeight="false" outlineLevel="0" collapsed="false">
      <c r="A13" s="24" t="s">
        <v>25</v>
      </c>
      <c r="B13" s="25" t="s">
        <v>28</v>
      </c>
      <c r="C13" s="25" t="s">
        <v>1</v>
      </c>
      <c r="D13" s="25" t="s">
        <v>2</v>
      </c>
      <c r="E13" s="25" t="s">
        <v>3</v>
      </c>
      <c r="F13" s="25" t="s">
        <v>4</v>
      </c>
      <c r="G13" s="25" t="s">
        <v>5</v>
      </c>
      <c r="H13" s="25" t="s">
        <v>6</v>
      </c>
      <c r="I13" s="25" t="s">
        <v>7</v>
      </c>
      <c r="J13" s="25" t="s">
        <v>8</v>
      </c>
      <c r="K13" s="25" t="s">
        <v>9</v>
      </c>
      <c r="L13" s="25" t="s">
        <v>10</v>
      </c>
      <c r="M13" s="25" t="s">
        <v>21</v>
      </c>
    </row>
    <row r="14" customFormat="false" ht="14.25" hidden="false" customHeight="false" outlineLevel="0" collapsed="false">
      <c r="A14" s="24"/>
      <c r="B14" s="26" t="n">
        <v>0.1</v>
      </c>
      <c r="C14" s="8" t="n">
        <v>8</v>
      </c>
      <c r="D14" s="8" t="n">
        <v>4.3</v>
      </c>
      <c r="E14" s="8" t="n">
        <v>4.3</v>
      </c>
      <c r="F14" s="8" t="n">
        <v>7.9</v>
      </c>
      <c r="G14" s="8" t="n">
        <v>7.6</v>
      </c>
      <c r="H14" s="8" t="n">
        <v>6.5</v>
      </c>
      <c r="I14" s="8" t="n">
        <v>7.5</v>
      </c>
      <c r="J14" s="8" t="n">
        <v>7</v>
      </c>
      <c r="K14" s="8" t="n">
        <v>5.4</v>
      </c>
      <c r="L14" s="8" t="n">
        <v>5.7</v>
      </c>
      <c r="M14" s="8" t="n">
        <f aca="false">AVERAGE(C14:L14)</f>
        <v>6.42</v>
      </c>
    </row>
    <row r="15" customFormat="false" ht="14.25" hidden="false" customHeight="false" outlineLevel="0" collapsed="false">
      <c r="A15" s="24"/>
      <c r="B15" s="26" t="n">
        <v>0.2</v>
      </c>
      <c r="C15" s="8" t="n">
        <v>4</v>
      </c>
      <c r="D15" s="8" t="n">
        <v>3.5</v>
      </c>
      <c r="E15" s="8" t="n">
        <v>3.3</v>
      </c>
      <c r="F15" s="8" t="n">
        <v>4.5</v>
      </c>
      <c r="G15" s="8" t="n">
        <v>4</v>
      </c>
      <c r="H15" s="8" t="n">
        <v>3.4</v>
      </c>
      <c r="I15" s="8" t="n">
        <v>6.1</v>
      </c>
      <c r="J15" s="8" t="n">
        <v>5.1</v>
      </c>
      <c r="K15" s="8" t="n">
        <v>5.4</v>
      </c>
      <c r="L15" s="8" t="n">
        <v>4.9</v>
      </c>
      <c r="M15" s="8" t="n">
        <f aca="false">AVERAGE(C15:L15)</f>
        <v>4.42</v>
      </c>
    </row>
    <row r="16" customFormat="false" ht="14.25" hidden="false" customHeight="false" outlineLevel="0" collapsed="false">
      <c r="A16" s="24"/>
      <c r="B16" s="26" t="n">
        <v>0.3</v>
      </c>
      <c r="C16" s="8" t="n">
        <v>6.8</v>
      </c>
      <c r="D16" s="8" t="n">
        <v>8</v>
      </c>
      <c r="E16" s="8" t="n">
        <v>7.2</v>
      </c>
      <c r="F16" s="8" t="n">
        <v>6.8</v>
      </c>
      <c r="G16" s="8" t="n">
        <v>7.7</v>
      </c>
      <c r="H16" s="8" t="n">
        <v>6.6</v>
      </c>
      <c r="I16" s="8" t="n">
        <v>6.6</v>
      </c>
      <c r="J16" s="8" t="n">
        <v>7.3</v>
      </c>
      <c r="K16" s="8" t="n">
        <v>7.8</v>
      </c>
      <c r="L16" s="8" t="n">
        <v>7.8</v>
      </c>
      <c r="M16" s="8" t="n">
        <f aca="false">AVERAGE(C16:L16)</f>
        <v>7.26</v>
      </c>
    </row>
    <row r="17" customFormat="false" ht="14.25" hidden="false" customHeight="false" outlineLevel="0" collapsed="false">
      <c r="A17" s="24"/>
      <c r="B17" s="26" t="n">
        <v>0.5</v>
      </c>
      <c r="C17" s="8" t="n">
        <v>6.8</v>
      </c>
      <c r="D17" s="8" t="n">
        <v>6.1</v>
      </c>
      <c r="E17" s="8" t="n">
        <v>5.7</v>
      </c>
      <c r="F17" s="8" t="n">
        <v>6.5</v>
      </c>
      <c r="G17" s="8" t="n">
        <v>5.8</v>
      </c>
      <c r="H17" s="8" t="n">
        <v>8.3</v>
      </c>
      <c r="I17" s="8" t="n">
        <v>6.5</v>
      </c>
      <c r="J17" s="8" t="n">
        <v>8.8</v>
      </c>
      <c r="K17" s="8" t="n">
        <v>7.8</v>
      </c>
      <c r="L17" s="8" t="n">
        <v>7</v>
      </c>
      <c r="M17" s="8" t="n">
        <f aca="false">AVERAGE(C17:L17)</f>
        <v>6.93</v>
      </c>
    </row>
    <row r="18" customFormat="false" ht="5.25" hidden="false" customHeight="true" outlineLevel="0" collapsed="false"/>
    <row r="19" customFormat="false" ht="5.25" hidden="false" customHeight="true" outlineLevel="0" collapsed="false"/>
    <row r="20" customFormat="false" ht="14.25" hidden="false" customHeight="true" outlineLevel="0" collapsed="false">
      <c r="B20" s="25" t="s">
        <v>26</v>
      </c>
      <c r="C20" s="29" t="s">
        <v>22</v>
      </c>
      <c r="D20" s="29"/>
      <c r="E20" s="29" t="s">
        <v>24</v>
      </c>
      <c r="F20" s="29"/>
      <c r="G20" s="29" t="s">
        <v>25</v>
      </c>
      <c r="H20" s="29"/>
    </row>
    <row r="21" customFormat="false" ht="14.25" hidden="false" customHeight="false" outlineLevel="0" collapsed="false">
      <c r="B21" s="25"/>
      <c r="C21" s="28" t="s">
        <v>21</v>
      </c>
      <c r="D21" s="28" t="s">
        <v>27</v>
      </c>
      <c r="E21" s="28" t="s">
        <v>21</v>
      </c>
      <c r="F21" s="28" t="s">
        <v>27</v>
      </c>
      <c r="G21" s="28" t="s">
        <v>21</v>
      </c>
      <c r="H21" s="28" t="s">
        <v>27</v>
      </c>
    </row>
    <row r="22" customFormat="false" ht="14.25" hidden="false" customHeight="false" outlineLevel="0" collapsed="false">
      <c r="B22" s="26" t="n">
        <v>0.1</v>
      </c>
      <c r="C22" s="14" t="n">
        <f aca="false">AVERAGE(C2:L2)</f>
        <v>1.71</v>
      </c>
      <c r="D22" s="14" t="n">
        <f aca="false">ROUND(_xlfn.STDEV.S(C2:L2),2)</f>
        <v>0.31</v>
      </c>
      <c r="E22" s="14" t="n">
        <f aca="false">AVERAGE(C8:L8)</f>
        <v>4.83</v>
      </c>
      <c r="F22" s="14" t="n">
        <f aca="false">ROUND(_xlfn.STDEV.S(C8:L8),2)</f>
        <v>0.87</v>
      </c>
      <c r="G22" s="14" t="n">
        <f aca="false">AVERAGE(C14:L14)</f>
        <v>6.42</v>
      </c>
      <c r="H22" s="14" t="n">
        <f aca="false">ROUND(_xlfn.STDEV.S(C14:L14),2)</f>
        <v>1.42</v>
      </c>
    </row>
    <row r="23" customFormat="false" ht="14.25" hidden="false" customHeight="false" outlineLevel="0" collapsed="false">
      <c r="B23" s="26" t="n">
        <v>0.2</v>
      </c>
      <c r="C23" s="14" t="n">
        <f aca="false">AVERAGE(C3:L3)</f>
        <v>1.99</v>
      </c>
      <c r="D23" s="14" t="n">
        <f aca="false">ROUND(_xlfn.STDEV.S(C3:L3),2)</f>
        <v>0.77</v>
      </c>
      <c r="E23" s="14" t="n">
        <f aca="false">AVERAGE(C9:L9)</f>
        <v>4.41</v>
      </c>
      <c r="F23" s="14" t="n">
        <f aca="false">ROUND(_xlfn.STDEV.S(C9:L9),2)</f>
        <v>0.58</v>
      </c>
      <c r="G23" s="14" t="n">
        <f aca="false">AVERAGE(C15:L15)</f>
        <v>4.42</v>
      </c>
      <c r="H23" s="14" t="n">
        <f aca="false">ROUND(_xlfn.STDEV.S(C15:L15),2)</f>
        <v>0.94</v>
      </c>
    </row>
    <row r="24" customFormat="false" ht="14.25" hidden="false" customHeight="false" outlineLevel="0" collapsed="false">
      <c r="B24" s="26" t="n">
        <v>0.3</v>
      </c>
      <c r="C24" s="14" t="n">
        <f aca="false">AVERAGE(C4:L4)</f>
        <v>1.92</v>
      </c>
      <c r="D24" s="14" t="n">
        <f aca="false">ROUND(_xlfn.STDEV.S(C4:L4),2)</f>
        <v>0.23</v>
      </c>
      <c r="E24" s="14" t="n">
        <f aca="false">AVERAGE(C10:L10)</f>
        <v>5.2</v>
      </c>
      <c r="F24" s="14" t="n">
        <f aca="false">ROUND(_xlfn.STDEV.S(C10:L10),2)</f>
        <v>0.44</v>
      </c>
      <c r="G24" s="14" t="n">
        <f aca="false">AVERAGE(C16:L16)</f>
        <v>7.26</v>
      </c>
      <c r="H24" s="14" t="n">
        <f aca="false">ROUND(_xlfn.STDEV.S(C16:L16),2)</f>
        <v>0.54</v>
      </c>
    </row>
    <row r="25" customFormat="false" ht="14.25" hidden="false" customHeight="false" outlineLevel="0" collapsed="false">
      <c r="B25" s="26" t="n">
        <v>0.5</v>
      </c>
      <c r="C25" s="14" t="n">
        <f aca="false">AVERAGE(C5:L5)</f>
        <v>2.01</v>
      </c>
      <c r="D25" s="14" t="n">
        <f aca="false">ROUND(_xlfn.STDEV.S(C5:L5),2)</f>
        <v>0.3</v>
      </c>
      <c r="E25" s="14" t="n">
        <f aca="false">AVERAGE(C11:L11)</f>
        <v>4.78</v>
      </c>
      <c r="F25" s="14" t="n">
        <f aca="false">ROUND(_xlfn.STDEV.S(C11:L11),2)</f>
        <v>0.6</v>
      </c>
      <c r="G25" s="14" t="n">
        <f aca="false">AVERAGE(C17:L17)</f>
        <v>6.93</v>
      </c>
      <c r="H25" s="14" t="n">
        <f aca="false">ROUND(_xlfn.STDEV.S(C17:L17),2)</f>
        <v>1.05</v>
      </c>
    </row>
    <row r="26" customFormat="false" ht="14.25" hidden="false" customHeight="false" outlineLevel="0" collapsed="false">
      <c r="B26" s="14" t="s">
        <v>0</v>
      </c>
      <c r="C26" s="14" t="n">
        <f aca="false">'Control Onion'!E10</f>
        <v>1.985</v>
      </c>
      <c r="D26" s="14" t="n">
        <f aca="false">'Control Onion'!F10</f>
        <v>0.61</v>
      </c>
      <c r="E26" s="14" t="n">
        <f aca="false">'Control Onion'!G10</f>
        <v>4.06</v>
      </c>
      <c r="F26" s="14" t="n">
        <f aca="false">'Control Onion'!H10</f>
        <v>1.07</v>
      </c>
      <c r="G26" s="14" t="n">
        <f aca="false">'Control Onion'!I10</f>
        <v>5.32</v>
      </c>
      <c r="H26" s="14" t="n">
        <f aca="false">'Control Onion'!J10</f>
        <v>1.13</v>
      </c>
    </row>
  </sheetData>
  <mergeCells count="7">
    <mergeCell ref="A1:A5"/>
    <mergeCell ref="A7:A11"/>
    <mergeCell ref="A13:A17"/>
    <mergeCell ref="B20:B21"/>
    <mergeCell ref="C20:D20"/>
    <mergeCell ref="E20:F20"/>
    <mergeCell ref="G20:H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2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G16" activeCellId="0" sqref="G16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3"/>
    <col collapsed="false" customWidth="true" hidden="false" outlineLevel="0" max="3" min="3" style="0" width="9.63"/>
    <col collapsed="false" customWidth="true" hidden="false" outlineLevel="0" max="4" min="4" style="0" width="14.74"/>
    <col collapsed="false" customWidth="true" hidden="false" outlineLevel="0" max="39" min="5" style="0" width="9.63"/>
  </cols>
  <sheetData>
    <row r="1" customFormat="false" ht="15" hidden="false" customHeight="true" outlineLevel="0" collapsed="false">
      <c r="A1" s="30"/>
      <c r="B1" s="25" t="s">
        <v>0</v>
      </c>
      <c r="C1" s="25" t="s">
        <v>29</v>
      </c>
      <c r="D1" s="25" t="s">
        <v>30</v>
      </c>
      <c r="E1" s="25" t="s">
        <v>31</v>
      </c>
      <c r="F1" s="25" t="s">
        <v>32</v>
      </c>
      <c r="G1" s="25" t="s">
        <v>33</v>
      </c>
      <c r="H1" s="25" t="s">
        <v>34</v>
      </c>
      <c r="I1" s="25" t="s">
        <v>35</v>
      </c>
      <c r="J1" s="25" t="s">
        <v>36</v>
      </c>
      <c r="K1" s="25" t="s">
        <v>37</v>
      </c>
      <c r="L1" s="25" t="s">
        <v>38</v>
      </c>
      <c r="M1" s="29" t="s">
        <v>21</v>
      </c>
      <c r="N1" s="31"/>
      <c r="O1" s="31"/>
      <c r="P1" s="31"/>
      <c r="Q1" s="31"/>
      <c r="R1" s="31"/>
      <c r="S1" s="31"/>
      <c r="T1" s="31"/>
      <c r="U1" s="31"/>
      <c r="V1" s="31"/>
      <c r="W1" s="32"/>
    </row>
    <row r="2" customFormat="false" ht="15" hidden="false" customHeight="true" outlineLevel="0" collapsed="false">
      <c r="A2" s="30" t="s">
        <v>22</v>
      </c>
      <c r="B2" s="26" t="s">
        <v>23</v>
      </c>
      <c r="C2" s="8" t="n">
        <v>7.3</v>
      </c>
      <c r="D2" s="8" t="n">
        <v>6.7</v>
      </c>
      <c r="E2" s="9" t="n">
        <v>2</v>
      </c>
      <c r="F2" s="8" t="n">
        <v>9.4</v>
      </c>
      <c r="G2" s="8" t="n">
        <v>8.9</v>
      </c>
      <c r="H2" s="8" t="n">
        <v>8.3</v>
      </c>
      <c r="I2" s="8" t="n">
        <v>8.5</v>
      </c>
      <c r="J2" s="8" t="n">
        <v>9.8</v>
      </c>
      <c r="K2" s="8"/>
      <c r="L2" s="10"/>
      <c r="M2" s="14" t="n">
        <f aca="false">AVERAGE(C2:L2)</f>
        <v>7.6125</v>
      </c>
      <c r="N2" s="33"/>
      <c r="O2" s="33"/>
      <c r="P2" s="33"/>
      <c r="Q2" s="33"/>
      <c r="R2" s="33"/>
      <c r="S2" s="33"/>
      <c r="T2" s="33"/>
      <c r="U2" s="33"/>
      <c r="V2" s="33"/>
      <c r="W2" s="34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</row>
    <row r="3" customFormat="false" ht="15" hidden="false" customHeight="true" outlineLevel="0" collapsed="false">
      <c r="A3" s="30" t="s">
        <v>24</v>
      </c>
      <c r="B3" s="26" t="s">
        <v>23</v>
      </c>
      <c r="C3" s="8" t="n">
        <v>15.5</v>
      </c>
      <c r="D3" s="8" t="n">
        <v>16.4</v>
      </c>
      <c r="E3" s="9" t="n">
        <v>15</v>
      </c>
      <c r="F3" s="8" t="n">
        <v>15.4</v>
      </c>
      <c r="G3" s="8" t="n">
        <v>15.8</v>
      </c>
      <c r="H3" s="8" t="n">
        <v>10.8</v>
      </c>
      <c r="I3" s="8" t="n">
        <v>2.2</v>
      </c>
      <c r="J3" s="8" t="n">
        <v>5.5</v>
      </c>
      <c r="K3" s="8" t="n">
        <v>9.6</v>
      </c>
      <c r="L3" s="10"/>
      <c r="M3" s="14" t="n">
        <f aca="false">AVERAGE(C3:L3)</f>
        <v>11.8</v>
      </c>
      <c r="N3" s="33"/>
      <c r="O3" s="33"/>
      <c r="P3" s="33"/>
      <c r="Q3" s="33"/>
      <c r="R3" s="33"/>
      <c r="S3" s="33"/>
      <c r="T3" s="33"/>
      <c r="U3" s="33"/>
      <c r="V3" s="33"/>
      <c r="W3" s="34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s="18" customFormat="true" ht="15" hidden="false" customHeight="true" outlineLevel="0" collapsed="false">
      <c r="A4" s="30" t="s">
        <v>25</v>
      </c>
      <c r="B4" s="26" t="s">
        <v>23</v>
      </c>
      <c r="C4" s="14" t="n">
        <v>17.5</v>
      </c>
      <c r="D4" s="14" t="n">
        <v>19.5</v>
      </c>
      <c r="E4" s="15" t="n">
        <v>21</v>
      </c>
      <c r="F4" s="16" t="n">
        <v>18.7</v>
      </c>
      <c r="G4" s="16" t="n">
        <v>17.9</v>
      </c>
      <c r="H4" s="16" t="n">
        <v>12</v>
      </c>
      <c r="I4" s="16" t="n">
        <v>16.5</v>
      </c>
      <c r="J4" s="16" t="n">
        <v>12.2</v>
      </c>
      <c r="K4" s="16" t="n">
        <v>14</v>
      </c>
      <c r="L4" s="17" t="n">
        <v>9.4</v>
      </c>
      <c r="M4" s="14" t="n">
        <f aca="false">AVERAGE(C4:L4)</f>
        <v>15.87</v>
      </c>
      <c r="N4" s="34"/>
      <c r="O4" s="34"/>
      <c r="P4" s="34"/>
      <c r="Q4" s="34"/>
      <c r="R4" s="34"/>
      <c r="S4" s="34"/>
      <c r="T4" s="34"/>
      <c r="U4" s="34"/>
      <c r="V4" s="34"/>
      <c r="W4" s="34"/>
    </row>
    <row r="5" customFormat="false" ht="15" hidden="false" customHeight="true" outlineLevel="0" collapsed="false"/>
    <row r="6" customFormat="false" ht="15" hidden="false" customHeight="true" outlineLevel="0" collapsed="false"/>
    <row r="8" customFormat="false" ht="13.5" hidden="false" customHeight="true" outlineLevel="0" collapsed="false">
      <c r="D8" s="25" t="s">
        <v>26</v>
      </c>
      <c r="E8" s="29" t="s">
        <v>22</v>
      </c>
      <c r="F8" s="29"/>
      <c r="G8" s="29" t="s">
        <v>24</v>
      </c>
      <c r="H8" s="29"/>
      <c r="I8" s="29" t="s">
        <v>25</v>
      </c>
      <c r="J8" s="29"/>
    </row>
    <row r="9" customFormat="false" ht="28.5" hidden="false" customHeight="true" outlineLevel="0" collapsed="false">
      <c r="D9" s="25"/>
      <c r="E9" s="28" t="s">
        <v>21</v>
      </c>
      <c r="F9" s="28" t="s">
        <v>27</v>
      </c>
      <c r="G9" s="28" t="s">
        <v>21</v>
      </c>
      <c r="H9" s="28" t="s">
        <v>27</v>
      </c>
      <c r="I9" s="28" t="s">
        <v>21</v>
      </c>
      <c r="J9" s="28" t="s">
        <v>27</v>
      </c>
    </row>
    <row r="10" customFormat="false" ht="27" hidden="false" customHeight="true" outlineLevel="0" collapsed="false">
      <c r="D10" s="8" t="s">
        <v>0</v>
      </c>
      <c r="E10" s="14" t="n">
        <f aca="false">AVERAGE(C2:L2)</f>
        <v>7.6125</v>
      </c>
      <c r="F10" s="14" t="n">
        <f aca="false">ROUND(_xlfn.STDEV.S(C2:L2),2)</f>
        <v>2.49</v>
      </c>
      <c r="G10" s="14" t="n">
        <f aca="false">AVERAGE(C3:L3)</f>
        <v>11.8</v>
      </c>
      <c r="H10" s="8" t="n">
        <f aca="false">ROUND(_xlfn.STDEV.S(C3:L3),2)</f>
        <v>5.14</v>
      </c>
      <c r="I10" s="14" t="n">
        <f aca="false">AVERAGE(C4:L4)</f>
        <v>15.87</v>
      </c>
      <c r="J10" s="14" t="n">
        <f aca="false">ROUND(_xlfn.STDEV.S(C4:L4),2)</f>
        <v>3.78</v>
      </c>
    </row>
    <row r="15" customFormat="false" ht="13.5" hidden="false" customHeight="false" outlineLevel="0" collapsed="false">
      <c r="A15" s="18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</row>
    <row r="16" customFormat="false" ht="14.25" hidden="false" customHeight="false" outlineLevel="0" collapsed="false">
      <c r="A16" s="18"/>
      <c r="B16" s="36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</row>
    <row r="17" customFormat="false" ht="14.25" hidden="false" customHeight="false" outlineLevel="0" collapsed="false">
      <c r="A17" s="18"/>
      <c r="B17" s="36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</row>
    <row r="18" customFormat="false" ht="14.25" hidden="false" customHeight="false" outlineLevel="0" collapsed="false">
      <c r="A18" s="18"/>
      <c r="B18" s="18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</row>
    <row r="19" customFormat="false" ht="13.5" hidden="false" customHeight="false" outlineLevel="0" collapsed="false"/>
    <row r="20" customFormat="false" ht="13.5" hidden="false" customHeight="false" outlineLevel="0" collapsed="false"/>
    <row r="21" customFormat="false" ht="13.5" hidden="false" customHeight="false" outlineLevel="0" collapsed="false"/>
    <row r="22" customFormat="false" ht="13.5" hidden="false" customHeight="false" outlineLevel="0" collapsed="false"/>
  </sheetData>
  <mergeCells count="4">
    <mergeCell ref="D8:D9"/>
    <mergeCell ref="E8:F8"/>
    <mergeCell ref="G8:H8"/>
    <mergeCell ref="I8:J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7"/>
  <sheetViews>
    <sheetView showFormulas="false" showGridLines="true" showRowColHeaders="true" showZeros="true" rightToLeft="false" tabSelected="false" showOutlineSymbols="true" defaultGridColor="true" view="normal" topLeftCell="A4" colorId="64" zoomScale="87" zoomScaleNormal="87" zoomScalePageLayoutView="100" workbookViewId="0">
      <selection pane="topLeft" activeCell="J27" activeCellId="0" sqref="J27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3"/>
    <col collapsed="false" customWidth="true" hidden="false" outlineLevel="0" max="39" min="3" style="0" width="9.63"/>
  </cols>
  <sheetData>
    <row r="1" customFormat="false" ht="15" hidden="false" customHeight="true" outlineLevel="0" collapsed="false">
      <c r="A1" s="24" t="s">
        <v>22</v>
      </c>
      <c r="B1" s="25" t="s">
        <v>28</v>
      </c>
      <c r="C1" s="25" t="s">
        <v>39</v>
      </c>
      <c r="D1" s="25" t="s">
        <v>40</v>
      </c>
      <c r="E1" s="25" t="s">
        <v>41</v>
      </c>
      <c r="F1" s="25" t="s">
        <v>42</v>
      </c>
      <c r="G1" s="25" t="s">
        <v>43</v>
      </c>
      <c r="H1" s="28" t="s">
        <v>21</v>
      </c>
    </row>
    <row r="2" customFormat="false" ht="15" hidden="false" customHeight="true" outlineLevel="0" collapsed="false">
      <c r="A2" s="24"/>
      <c r="B2" s="26" t="n">
        <v>0.1</v>
      </c>
      <c r="C2" s="8" t="n">
        <v>10.2</v>
      </c>
      <c r="D2" s="8" t="n">
        <v>10.5</v>
      </c>
      <c r="E2" s="8" t="n">
        <v>11.3</v>
      </c>
      <c r="F2" s="8" t="n">
        <v>10.1</v>
      </c>
      <c r="G2" s="8" t="n">
        <v>10.1</v>
      </c>
      <c r="H2" s="14" t="n">
        <f aca="false">AVERAGE(C2:G2)</f>
        <v>10.44</v>
      </c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</row>
    <row r="3" customFormat="false" ht="15" hidden="false" customHeight="true" outlineLevel="0" collapsed="false">
      <c r="A3" s="24"/>
      <c r="B3" s="26" t="n">
        <v>0.2</v>
      </c>
      <c r="C3" s="8" t="n">
        <v>11.5</v>
      </c>
      <c r="D3" s="8" t="n">
        <v>10.4</v>
      </c>
      <c r="E3" s="8" t="n">
        <v>9.5</v>
      </c>
      <c r="F3" s="8" t="n">
        <v>9.8</v>
      </c>
      <c r="G3" s="8" t="n">
        <v>9.4</v>
      </c>
      <c r="H3" s="14" t="n">
        <f aca="false">AVERAGE(C3:G3)</f>
        <v>10.12</v>
      </c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customFormat="false" ht="15" hidden="false" customHeight="true" outlineLevel="0" collapsed="false">
      <c r="A4" s="24"/>
      <c r="B4" s="26" t="n">
        <v>0.3</v>
      </c>
      <c r="C4" s="8" t="n">
        <v>7.8</v>
      </c>
      <c r="D4" s="8" t="n">
        <v>7.7</v>
      </c>
      <c r="E4" s="8" t="n">
        <v>7.4</v>
      </c>
      <c r="F4" s="8" t="n">
        <v>10.6</v>
      </c>
      <c r="G4" s="8" t="n">
        <v>7.8</v>
      </c>
      <c r="H4" s="14" t="n">
        <f aca="false">AVERAGE(C4:G4)</f>
        <v>8.26</v>
      </c>
    </row>
    <row r="5" customFormat="false" ht="15" hidden="false" customHeight="true" outlineLevel="0" collapsed="false">
      <c r="A5" s="24"/>
      <c r="B5" s="26" t="n">
        <v>0.5</v>
      </c>
      <c r="C5" s="8" t="n">
        <v>2.7</v>
      </c>
      <c r="D5" s="8" t="n">
        <v>3.4</v>
      </c>
      <c r="E5" s="8" t="n">
        <v>8.8</v>
      </c>
      <c r="F5" s="8"/>
      <c r="G5" s="8"/>
      <c r="H5" s="14" t="n">
        <f aca="false">ROUND(AVERAGE(C5:G5),2)</f>
        <v>4.97</v>
      </c>
    </row>
    <row r="7" customFormat="false" ht="14.25" hidden="false" customHeight="false" outlineLevel="0" collapsed="false">
      <c r="A7" s="24" t="s">
        <v>24</v>
      </c>
      <c r="B7" s="25" t="s">
        <v>28</v>
      </c>
      <c r="C7" s="25" t="s">
        <v>39</v>
      </c>
      <c r="D7" s="25" t="s">
        <v>40</v>
      </c>
      <c r="E7" s="25" t="s">
        <v>41</v>
      </c>
      <c r="F7" s="25" t="s">
        <v>42</v>
      </c>
      <c r="G7" s="25" t="s">
        <v>43</v>
      </c>
      <c r="H7" s="28" t="s">
        <v>21</v>
      </c>
    </row>
    <row r="8" customFormat="false" ht="14.25" hidden="false" customHeight="false" outlineLevel="0" collapsed="false">
      <c r="A8" s="24"/>
      <c r="B8" s="26" t="n">
        <v>0.1</v>
      </c>
      <c r="C8" s="8" t="n">
        <v>20</v>
      </c>
      <c r="D8" s="8" t="n">
        <v>17</v>
      </c>
      <c r="E8" s="8" t="n">
        <v>17</v>
      </c>
      <c r="F8" s="8" t="n">
        <v>16.8</v>
      </c>
      <c r="G8" s="8" t="n">
        <v>16.7</v>
      </c>
      <c r="H8" s="14" t="n">
        <f aca="false">AVERAGE(C8:G8)</f>
        <v>17.5</v>
      </c>
    </row>
    <row r="9" customFormat="false" ht="14.25" hidden="false" customHeight="false" outlineLevel="0" collapsed="false">
      <c r="A9" s="24"/>
      <c r="B9" s="26" t="n">
        <v>0.2</v>
      </c>
      <c r="C9" s="8" t="n">
        <v>16</v>
      </c>
      <c r="D9" s="8" t="n">
        <v>17</v>
      </c>
      <c r="E9" s="8" t="n">
        <v>17.5</v>
      </c>
      <c r="F9" s="8" t="n">
        <v>15.5</v>
      </c>
      <c r="G9" s="8" t="n">
        <v>15.5</v>
      </c>
      <c r="H9" s="14" t="n">
        <f aca="false">AVERAGE(C9:G9)</f>
        <v>16.3</v>
      </c>
    </row>
    <row r="10" customFormat="false" ht="14.25" hidden="false" customHeight="false" outlineLevel="0" collapsed="false">
      <c r="A10" s="24"/>
      <c r="B10" s="26" t="n">
        <v>0.3</v>
      </c>
      <c r="C10" s="8" t="n">
        <v>12.2</v>
      </c>
      <c r="D10" s="8" t="n">
        <v>10</v>
      </c>
      <c r="E10" s="8" t="n">
        <v>9.5</v>
      </c>
      <c r="F10" s="8" t="n">
        <v>10.1</v>
      </c>
      <c r="G10" s="8" t="n">
        <v>9.2</v>
      </c>
      <c r="H10" s="14" t="n">
        <f aca="false">AVERAGE(C10:G10)</f>
        <v>10.2</v>
      </c>
    </row>
    <row r="11" customFormat="false" ht="14.25" hidden="false" customHeight="false" outlineLevel="0" collapsed="false">
      <c r="A11" s="24"/>
      <c r="B11" s="26" t="n">
        <v>0.5</v>
      </c>
      <c r="C11" s="8" t="n">
        <v>5</v>
      </c>
      <c r="D11" s="8" t="n">
        <v>6.8</v>
      </c>
      <c r="E11" s="8" t="n">
        <v>11.3</v>
      </c>
      <c r="F11" s="8" t="n">
        <v>5.3</v>
      </c>
      <c r="G11" s="8"/>
      <c r="H11" s="14" t="n">
        <f aca="false">AVERAGE(C11:G11)</f>
        <v>7.1</v>
      </c>
    </row>
    <row r="13" customFormat="false" ht="14.25" hidden="false" customHeight="false" outlineLevel="0" collapsed="false">
      <c r="A13" s="24" t="s">
        <v>25</v>
      </c>
      <c r="B13" s="25" t="s">
        <v>28</v>
      </c>
      <c r="C13" s="25" t="s">
        <v>39</v>
      </c>
      <c r="D13" s="25" t="s">
        <v>40</v>
      </c>
      <c r="E13" s="25" t="s">
        <v>41</v>
      </c>
      <c r="F13" s="25" t="s">
        <v>42</v>
      </c>
      <c r="G13" s="25" t="s">
        <v>43</v>
      </c>
      <c r="H13" s="28" t="s">
        <v>21</v>
      </c>
    </row>
    <row r="14" customFormat="false" ht="14.25" hidden="false" customHeight="false" outlineLevel="0" collapsed="false">
      <c r="A14" s="24"/>
      <c r="B14" s="26" t="n">
        <v>0.1</v>
      </c>
      <c r="C14" s="8" t="n">
        <v>18.5</v>
      </c>
      <c r="D14" s="8" t="n">
        <v>21.5</v>
      </c>
      <c r="E14" s="8" t="n">
        <v>19.5</v>
      </c>
      <c r="F14" s="8" t="n">
        <v>18.5</v>
      </c>
      <c r="G14" s="8" t="n">
        <v>23.5</v>
      </c>
      <c r="H14" s="14" t="n">
        <f aca="false">AVERAGE(C14:G14)</f>
        <v>20.3</v>
      </c>
    </row>
    <row r="15" customFormat="false" ht="14.25" hidden="false" customHeight="false" outlineLevel="0" collapsed="false">
      <c r="A15" s="24"/>
      <c r="B15" s="26" t="n">
        <v>0.2</v>
      </c>
      <c r="C15" s="8" t="n">
        <v>19.5</v>
      </c>
      <c r="D15" s="8" t="n">
        <v>22</v>
      </c>
      <c r="E15" s="8" t="n">
        <v>23.3</v>
      </c>
      <c r="F15" s="8" t="n">
        <v>16.9</v>
      </c>
      <c r="G15" s="8" t="n">
        <v>17.5</v>
      </c>
      <c r="H15" s="14" t="n">
        <f aca="false">AVERAGE(C15:G15)</f>
        <v>19.84</v>
      </c>
    </row>
    <row r="16" customFormat="false" ht="14.25" hidden="false" customHeight="false" outlineLevel="0" collapsed="false">
      <c r="A16" s="24"/>
      <c r="B16" s="26" t="n">
        <v>0.3</v>
      </c>
      <c r="C16" s="8" t="n">
        <v>13</v>
      </c>
      <c r="D16" s="8" t="n">
        <v>14.5</v>
      </c>
      <c r="E16" s="8" t="n">
        <v>15</v>
      </c>
      <c r="F16" s="8" t="n">
        <v>17.5</v>
      </c>
      <c r="G16" s="8" t="n">
        <v>14.5</v>
      </c>
      <c r="H16" s="14" t="n">
        <f aca="false">AVERAGE(C16:G16)</f>
        <v>14.9</v>
      </c>
    </row>
    <row r="17" customFormat="false" ht="14.25" hidden="false" customHeight="false" outlineLevel="0" collapsed="false">
      <c r="A17" s="24"/>
      <c r="B17" s="26" t="n">
        <v>0.5</v>
      </c>
      <c r="C17" s="8" t="n">
        <v>12.3</v>
      </c>
      <c r="D17" s="8" t="n">
        <v>10.5</v>
      </c>
      <c r="E17" s="8" t="n">
        <v>11.7</v>
      </c>
      <c r="F17" s="8" t="n">
        <v>15.5</v>
      </c>
      <c r="G17" s="8" t="n">
        <v>12</v>
      </c>
      <c r="H17" s="14" t="n">
        <f aca="false">AVERAGE(C17:G17)</f>
        <v>12.4</v>
      </c>
    </row>
    <row r="21" customFormat="false" ht="14.25" hidden="false" customHeight="true" outlineLevel="0" collapsed="false">
      <c r="B21" s="25" t="s">
        <v>26</v>
      </c>
      <c r="C21" s="29" t="s">
        <v>22</v>
      </c>
      <c r="D21" s="29"/>
      <c r="E21" s="29" t="s">
        <v>24</v>
      </c>
      <c r="F21" s="29"/>
      <c r="G21" s="29" t="s">
        <v>25</v>
      </c>
      <c r="H21" s="29"/>
    </row>
    <row r="22" customFormat="false" ht="14.25" hidden="false" customHeight="false" outlineLevel="0" collapsed="false">
      <c r="B22" s="25"/>
      <c r="C22" s="28" t="s">
        <v>21</v>
      </c>
      <c r="D22" s="28" t="s">
        <v>27</v>
      </c>
      <c r="E22" s="28" t="s">
        <v>21</v>
      </c>
      <c r="F22" s="28" t="s">
        <v>27</v>
      </c>
      <c r="G22" s="28" t="s">
        <v>21</v>
      </c>
      <c r="H22" s="28" t="s">
        <v>27</v>
      </c>
    </row>
    <row r="23" customFormat="false" ht="14.25" hidden="false" customHeight="false" outlineLevel="0" collapsed="false">
      <c r="B23" s="26" t="n">
        <v>0.1</v>
      </c>
      <c r="C23" s="14" t="n">
        <f aca="false">ROUND(AVERAGE(C2:H2),2)</f>
        <v>10.44</v>
      </c>
      <c r="D23" s="14" t="n">
        <f aca="false">ROUND(_xlfn.STDEV.S(C2:G2),2)</f>
        <v>0.51</v>
      </c>
      <c r="E23" s="14" t="n">
        <f aca="false">AVERAGE(C8:G8)</f>
        <v>17.5</v>
      </c>
      <c r="F23" s="14" t="n">
        <f aca="false">ROUND(_xlfn.STDEV.S(C8:G8),2)</f>
        <v>1.4</v>
      </c>
      <c r="G23" s="14" t="n">
        <f aca="false">AVERAGE(C14:G14)</f>
        <v>20.3</v>
      </c>
      <c r="H23" s="14" t="n">
        <f aca="false">ROUND(_xlfn.STDEV.S(C14:G14),2)</f>
        <v>2.17</v>
      </c>
    </row>
    <row r="24" customFormat="false" ht="14.25" hidden="false" customHeight="false" outlineLevel="0" collapsed="false">
      <c r="B24" s="26" t="n">
        <v>0.2</v>
      </c>
      <c r="C24" s="14" t="n">
        <f aca="false">ROUND(AVERAGE(C3:H3),2)</f>
        <v>10.12</v>
      </c>
      <c r="D24" s="14" t="n">
        <f aca="false">ROUND(_xlfn.STDEV.S(C3:G3),2)</f>
        <v>0.86</v>
      </c>
      <c r="E24" s="14" t="n">
        <f aca="false">AVERAGE(C9:G9)</f>
        <v>16.3</v>
      </c>
      <c r="F24" s="14" t="n">
        <f aca="false">ROUND(_xlfn.STDEV.S(C9:G9),2)</f>
        <v>0.91</v>
      </c>
      <c r="G24" s="14" t="n">
        <f aca="false">AVERAGE(C15:G15)</f>
        <v>19.84</v>
      </c>
      <c r="H24" s="14" t="n">
        <f aca="false">ROUND(_xlfn.STDEV.S(C15:G15),2)</f>
        <v>2.78</v>
      </c>
    </row>
    <row r="25" customFormat="false" ht="14.25" hidden="false" customHeight="false" outlineLevel="0" collapsed="false">
      <c r="B25" s="26" t="n">
        <v>0.3</v>
      </c>
      <c r="C25" s="14" t="n">
        <f aca="false">ROUND(AVERAGE(C4:H4),2)</f>
        <v>8.26</v>
      </c>
      <c r="D25" s="14" t="n">
        <f aca="false">ROUND(_xlfn.STDEV.S(C4:G4),2)</f>
        <v>1.32</v>
      </c>
      <c r="E25" s="14" t="n">
        <f aca="false">AVERAGE(C10:G10)</f>
        <v>10.2</v>
      </c>
      <c r="F25" s="14" t="n">
        <f aca="false">ROUND(_xlfn.STDEV.S(C10:G10),2)</f>
        <v>1.18</v>
      </c>
      <c r="G25" s="14" t="n">
        <f aca="false">AVERAGE(C16:G16)</f>
        <v>14.9</v>
      </c>
      <c r="H25" s="14" t="n">
        <f aca="false">ROUND(_xlfn.STDEV.S(C16:G16),2)</f>
        <v>1.64</v>
      </c>
    </row>
    <row r="26" customFormat="false" ht="14.25" hidden="false" customHeight="false" outlineLevel="0" collapsed="false">
      <c r="B26" s="26" t="n">
        <v>0.5</v>
      </c>
      <c r="C26" s="14" t="n">
        <f aca="false">ROUND(AVERAGE(C5:H5),2)</f>
        <v>4.97</v>
      </c>
      <c r="D26" s="14" t="n">
        <f aca="false">ROUND(_xlfn.STDEV.S(C5:G5),2)</f>
        <v>3.34</v>
      </c>
      <c r="E26" s="14" t="n">
        <f aca="false">AVERAGE(C11:G11)</f>
        <v>7.1</v>
      </c>
      <c r="F26" s="14" t="n">
        <f aca="false">ROUND(_xlfn.STDEV.S(C11:G11),2)</f>
        <v>2.91</v>
      </c>
      <c r="G26" s="14" t="n">
        <f aca="false">AVERAGE(C17:G17)</f>
        <v>12.4</v>
      </c>
      <c r="H26" s="14" t="n">
        <f aca="false">ROUND(_xlfn.STDEV.S(C17:G17),2)</f>
        <v>1.86</v>
      </c>
    </row>
    <row r="27" customFormat="false" ht="14.25" hidden="false" customHeight="false" outlineLevel="0" collapsed="false">
      <c r="B27" s="14" t="s">
        <v>0</v>
      </c>
      <c r="C27" s="14" t="n">
        <f aca="false">'Control Pea Shoot'!E10</f>
        <v>7.6125</v>
      </c>
      <c r="D27" s="14" t="n">
        <f aca="false">'Control Pea Shoot'!F10</f>
        <v>2.49</v>
      </c>
      <c r="E27" s="14" t="n">
        <f aca="false">'Control Pea Shoot'!G10</f>
        <v>11.8</v>
      </c>
      <c r="F27" s="14" t="n">
        <f aca="false">'Control Pea Shoot'!H10</f>
        <v>5.14</v>
      </c>
      <c r="G27" s="14" t="n">
        <f aca="false">'Control Pea Shoot'!I10</f>
        <v>15.87</v>
      </c>
      <c r="H27" s="14" t="n">
        <f aca="false">'Control Pea Shoot'!J10</f>
        <v>3.78</v>
      </c>
    </row>
  </sheetData>
  <mergeCells count="7">
    <mergeCell ref="A1:A5"/>
    <mergeCell ref="A7:A11"/>
    <mergeCell ref="A13:A17"/>
    <mergeCell ref="B21:B22"/>
    <mergeCell ref="C21:D21"/>
    <mergeCell ref="E21:F21"/>
    <mergeCell ref="G21:H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7"/>
  <sheetViews>
    <sheetView showFormulas="false" showGridLines="true" showRowColHeaders="true" showZeros="true" rightToLeft="false" tabSelected="false" showOutlineSymbols="true" defaultGridColor="true" view="normal" topLeftCell="B7" colorId="64" zoomScale="87" zoomScaleNormal="87" zoomScalePageLayoutView="100" workbookViewId="0">
      <selection pane="topLeft" activeCell="I17" activeCellId="0" sqref="I17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3"/>
    <col collapsed="false" customWidth="true" hidden="false" outlineLevel="0" max="39" min="3" style="0" width="9.63"/>
  </cols>
  <sheetData>
    <row r="1" customFormat="false" ht="15" hidden="false" customHeight="true" outlineLevel="0" collapsed="false">
      <c r="A1" s="24" t="s">
        <v>22</v>
      </c>
      <c r="B1" s="25" t="s">
        <v>28</v>
      </c>
      <c r="C1" s="25" t="s">
        <v>39</v>
      </c>
      <c r="D1" s="25" t="s">
        <v>40</v>
      </c>
      <c r="E1" s="25" t="s">
        <v>41</v>
      </c>
      <c r="F1" s="25" t="s">
        <v>42</v>
      </c>
      <c r="G1" s="25" t="s">
        <v>43</v>
      </c>
      <c r="H1" s="28" t="s">
        <v>21</v>
      </c>
    </row>
    <row r="2" customFormat="false" ht="15" hidden="false" customHeight="true" outlineLevel="0" collapsed="false">
      <c r="A2" s="24"/>
      <c r="B2" s="26" t="n">
        <v>0.1</v>
      </c>
      <c r="C2" s="8" t="n">
        <v>11.8</v>
      </c>
      <c r="D2" s="8" t="n">
        <v>10.5</v>
      </c>
      <c r="E2" s="8" t="n">
        <v>9.8</v>
      </c>
      <c r="F2" s="8" t="n">
        <v>9.2</v>
      </c>
      <c r="G2" s="8" t="n">
        <v>11.2</v>
      </c>
      <c r="H2" s="14" t="n">
        <f aca="false">AVERAGE(C2:G2)</f>
        <v>10.5</v>
      </c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</row>
    <row r="3" customFormat="false" ht="15" hidden="false" customHeight="true" outlineLevel="0" collapsed="false">
      <c r="A3" s="24"/>
      <c r="B3" s="26" t="n">
        <v>0.2</v>
      </c>
      <c r="C3" s="8" t="n">
        <v>11.2</v>
      </c>
      <c r="D3" s="8" t="n">
        <v>11.7</v>
      </c>
      <c r="E3" s="8" t="n">
        <v>10.9</v>
      </c>
      <c r="F3" s="8" t="n">
        <v>9.4</v>
      </c>
      <c r="G3" s="8" t="n">
        <v>9.9</v>
      </c>
      <c r="H3" s="14" t="n">
        <f aca="false">AVERAGE(C3:G3)</f>
        <v>10.62</v>
      </c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customFormat="false" ht="15" hidden="false" customHeight="true" outlineLevel="0" collapsed="false">
      <c r="A4" s="24"/>
      <c r="B4" s="26" t="n">
        <v>0.3</v>
      </c>
      <c r="C4" s="8" t="n">
        <v>5.5</v>
      </c>
      <c r="D4" s="8" t="n">
        <v>5.8</v>
      </c>
      <c r="E4" s="8" t="n">
        <v>5.7</v>
      </c>
      <c r="F4" s="8" t="n">
        <v>8.4</v>
      </c>
      <c r="G4" s="8" t="n">
        <v>7</v>
      </c>
      <c r="H4" s="14" t="n">
        <f aca="false">AVERAGE(C4:G4)</f>
        <v>6.48</v>
      </c>
    </row>
    <row r="5" customFormat="false" ht="15" hidden="false" customHeight="true" outlineLevel="0" collapsed="false">
      <c r="A5" s="24"/>
      <c r="B5" s="26" t="n">
        <v>0.5</v>
      </c>
      <c r="C5" s="8" t="n">
        <v>4</v>
      </c>
      <c r="D5" s="8" t="n">
        <v>2.6</v>
      </c>
      <c r="E5" s="8" t="n">
        <v>2.8</v>
      </c>
      <c r="F5" s="8" t="n">
        <v>2.6</v>
      </c>
      <c r="G5" s="8"/>
      <c r="H5" s="14" t="n">
        <f aca="false">ROUND(AVERAGE(C5:G5),2)</f>
        <v>3</v>
      </c>
    </row>
    <row r="7" customFormat="false" ht="14.25" hidden="false" customHeight="false" outlineLevel="0" collapsed="false">
      <c r="A7" s="24" t="s">
        <v>24</v>
      </c>
      <c r="B7" s="25" t="s">
        <v>28</v>
      </c>
      <c r="C7" s="25" t="s">
        <v>39</v>
      </c>
      <c r="D7" s="25" t="s">
        <v>40</v>
      </c>
      <c r="E7" s="25" t="s">
        <v>41</v>
      </c>
      <c r="F7" s="25" t="s">
        <v>42</v>
      </c>
      <c r="G7" s="25" t="s">
        <v>43</v>
      </c>
      <c r="H7" s="28" t="s">
        <v>21</v>
      </c>
    </row>
    <row r="8" customFormat="false" ht="14.25" hidden="false" customHeight="false" outlineLevel="0" collapsed="false">
      <c r="A8" s="24"/>
      <c r="B8" s="26" t="n">
        <v>0.1</v>
      </c>
      <c r="C8" s="8" t="n">
        <v>16.5</v>
      </c>
      <c r="D8" s="8" t="n">
        <v>15.8</v>
      </c>
      <c r="E8" s="8" t="n">
        <v>18</v>
      </c>
      <c r="F8" s="8" t="n">
        <v>16.5</v>
      </c>
      <c r="G8" s="8" t="n">
        <v>17</v>
      </c>
      <c r="H8" s="14" t="n">
        <f aca="false">AVERAGE(C8:G8)</f>
        <v>16.76</v>
      </c>
    </row>
    <row r="9" customFormat="false" ht="14.25" hidden="false" customHeight="false" outlineLevel="0" collapsed="false">
      <c r="A9" s="24"/>
      <c r="B9" s="26" t="n">
        <v>0.2</v>
      </c>
      <c r="C9" s="8" t="n">
        <v>16</v>
      </c>
      <c r="D9" s="8" t="n">
        <v>17.3</v>
      </c>
      <c r="E9" s="8" t="n">
        <v>17</v>
      </c>
      <c r="F9" s="8" t="n">
        <v>18.3</v>
      </c>
      <c r="G9" s="8" t="n">
        <v>16.5</v>
      </c>
      <c r="H9" s="14" t="n">
        <f aca="false">AVERAGE(C9:G9)</f>
        <v>17.02</v>
      </c>
    </row>
    <row r="10" customFormat="false" ht="14.25" hidden="false" customHeight="false" outlineLevel="0" collapsed="false">
      <c r="A10" s="24"/>
      <c r="B10" s="26" t="n">
        <v>0.3</v>
      </c>
      <c r="C10" s="8" t="n">
        <v>7.1</v>
      </c>
      <c r="D10" s="8" t="n">
        <v>8.5</v>
      </c>
      <c r="E10" s="8" t="n">
        <v>8.8</v>
      </c>
      <c r="F10" s="8" t="n">
        <v>11.8</v>
      </c>
      <c r="G10" s="8" t="n">
        <v>9.5</v>
      </c>
      <c r="H10" s="14" t="n">
        <f aca="false">AVERAGE(C10:G10)</f>
        <v>9.14</v>
      </c>
    </row>
    <row r="11" customFormat="false" ht="14.25" hidden="false" customHeight="false" outlineLevel="0" collapsed="false">
      <c r="A11" s="24"/>
      <c r="B11" s="26" t="n">
        <v>0.5</v>
      </c>
      <c r="C11" s="8" t="n">
        <v>7.1</v>
      </c>
      <c r="D11" s="8" t="n">
        <v>5.3</v>
      </c>
      <c r="E11" s="8" t="n">
        <v>5.3</v>
      </c>
      <c r="F11" s="8" t="n">
        <v>6.2</v>
      </c>
      <c r="G11" s="8" t="n">
        <v>6.8</v>
      </c>
      <c r="H11" s="14" t="n">
        <f aca="false">AVERAGE(C11:G11)</f>
        <v>6.14</v>
      </c>
    </row>
    <row r="13" customFormat="false" ht="14.25" hidden="false" customHeight="false" outlineLevel="0" collapsed="false">
      <c r="A13" s="24" t="s">
        <v>25</v>
      </c>
      <c r="B13" s="25" t="s">
        <v>28</v>
      </c>
      <c r="C13" s="25" t="s">
        <v>39</v>
      </c>
      <c r="D13" s="25" t="s">
        <v>40</v>
      </c>
      <c r="E13" s="25" t="s">
        <v>41</v>
      </c>
      <c r="F13" s="25" t="s">
        <v>42</v>
      </c>
      <c r="G13" s="25" t="s">
        <v>43</v>
      </c>
      <c r="H13" s="28" t="s">
        <v>21</v>
      </c>
    </row>
    <row r="14" customFormat="false" ht="14.25" hidden="false" customHeight="false" outlineLevel="0" collapsed="false">
      <c r="A14" s="24"/>
      <c r="B14" s="26" t="n">
        <v>0.1</v>
      </c>
      <c r="C14" s="8" t="n">
        <v>20.5</v>
      </c>
      <c r="D14" s="8" t="n">
        <v>19</v>
      </c>
      <c r="E14" s="8" t="n">
        <v>19.5</v>
      </c>
      <c r="F14" s="8" t="n">
        <v>21</v>
      </c>
      <c r="G14" s="8" t="n">
        <v>19.5</v>
      </c>
      <c r="H14" s="14" t="n">
        <f aca="false">AVERAGE(C14:G14)</f>
        <v>19.9</v>
      </c>
    </row>
    <row r="15" customFormat="false" ht="14.25" hidden="false" customHeight="false" outlineLevel="0" collapsed="false">
      <c r="A15" s="24"/>
      <c r="B15" s="26" t="n">
        <v>0.2</v>
      </c>
      <c r="C15" s="8" t="n">
        <v>20</v>
      </c>
      <c r="D15" s="8" t="n">
        <v>21</v>
      </c>
      <c r="E15" s="8" t="n">
        <v>21</v>
      </c>
      <c r="F15" s="8" t="n">
        <v>21.5</v>
      </c>
      <c r="G15" s="8" t="n">
        <v>20.5</v>
      </c>
      <c r="H15" s="14" t="n">
        <f aca="false">AVERAGE(C15:G15)</f>
        <v>20.8</v>
      </c>
    </row>
    <row r="16" customFormat="false" ht="14.25" hidden="false" customHeight="false" outlineLevel="0" collapsed="false">
      <c r="A16" s="24"/>
      <c r="B16" s="26" t="n">
        <v>0.3</v>
      </c>
      <c r="C16" s="8" t="n">
        <v>14.5</v>
      </c>
      <c r="D16" s="8" t="n">
        <v>13.4</v>
      </c>
      <c r="E16" s="8" t="n">
        <v>17</v>
      </c>
      <c r="F16" s="8" t="n">
        <v>14</v>
      </c>
      <c r="G16" s="8" t="n">
        <v>12.5</v>
      </c>
      <c r="H16" s="14" t="n">
        <f aca="false">AVERAGE(C16:G16)</f>
        <v>14.28</v>
      </c>
    </row>
    <row r="17" customFormat="false" ht="14.25" hidden="false" customHeight="false" outlineLevel="0" collapsed="false">
      <c r="A17" s="24"/>
      <c r="B17" s="26" t="n">
        <v>0.5</v>
      </c>
      <c r="C17" s="8" t="n">
        <v>17.1</v>
      </c>
      <c r="D17" s="8" t="n">
        <v>9</v>
      </c>
      <c r="E17" s="8" t="n">
        <v>11.8</v>
      </c>
      <c r="F17" s="8" t="n">
        <v>11.8</v>
      </c>
      <c r="G17" s="8" t="n">
        <v>7.5</v>
      </c>
      <c r="H17" s="14" t="n">
        <f aca="false">AVERAGE(C17:G17)</f>
        <v>11.44</v>
      </c>
    </row>
    <row r="21" customFormat="false" ht="14.25" hidden="false" customHeight="true" outlineLevel="0" collapsed="false">
      <c r="B21" s="25" t="s">
        <v>26</v>
      </c>
      <c r="C21" s="29" t="s">
        <v>22</v>
      </c>
      <c r="D21" s="29"/>
      <c r="E21" s="29" t="s">
        <v>24</v>
      </c>
      <c r="F21" s="29"/>
      <c r="G21" s="29" t="s">
        <v>25</v>
      </c>
      <c r="H21" s="29"/>
    </row>
    <row r="22" customFormat="false" ht="14.25" hidden="false" customHeight="false" outlineLevel="0" collapsed="false">
      <c r="B22" s="25"/>
      <c r="C22" s="28" t="s">
        <v>21</v>
      </c>
      <c r="D22" s="28" t="s">
        <v>27</v>
      </c>
      <c r="E22" s="28" t="s">
        <v>21</v>
      </c>
      <c r="F22" s="28" t="s">
        <v>27</v>
      </c>
      <c r="G22" s="28" t="s">
        <v>21</v>
      </c>
      <c r="H22" s="28" t="s">
        <v>27</v>
      </c>
    </row>
    <row r="23" customFormat="false" ht="14.25" hidden="false" customHeight="false" outlineLevel="0" collapsed="false">
      <c r="B23" s="26" t="n">
        <v>0.1</v>
      </c>
      <c r="C23" s="14" t="n">
        <f aca="false">ROUND(AVERAGE(C2:H2),2)</f>
        <v>10.5</v>
      </c>
      <c r="D23" s="14" t="n">
        <f aca="false">ROUND(_xlfn.STDEV.S(C2:G2),2)</f>
        <v>1.04</v>
      </c>
      <c r="E23" s="14" t="n">
        <f aca="false">AVERAGE(C8:G8)</f>
        <v>16.76</v>
      </c>
      <c r="F23" s="14" t="n">
        <f aca="false">ROUND(_xlfn.STDEV.S(C8:G8),2)</f>
        <v>0.81</v>
      </c>
      <c r="G23" s="14" t="n">
        <f aca="false">AVERAGE(C14:G14)</f>
        <v>19.9</v>
      </c>
      <c r="H23" s="14" t="n">
        <f aca="false">ROUND(_xlfn.STDEV.S(C14:G14),2)</f>
        <v>0.82</v>
      </c>
    </row>
    <row r="24" customFormat="false" ht="14.25" hidden="false" customHeight="false" outlineLevel="0" collapsed="false">
      <c r="B24" s="26" t="n">
        <v>0.2</v>
      </c>
      <c r="C24" s="14" t="n">
        <f aca="false">ROUND(AVERAGE(C3:H3),2)</f>
        <v>10.62</v>
      </c>
      <c r="D24" s="14" t="n">
        <f aca="false">ROUND(_xlfn.STDEV.S(C3:G3),2)</f>
        <v>0.95</v>
      </c>
      <c r="E24" s="14" t="n">
        <f aca="false">AVERAGE(C9:G9)</f>
        <v>17.02</v>
      </c>
      <c r="F24" s="14" t="n">
        <f aca="false">ROUND(_xlfn.STDEV.S(C9:G9),2)</f>
        <v>0.87</v>
      </c>
      <c r="G24" s="14" t="n">
        <f aca="false">AVERAGE(C15:G15)</f>
        <v>20.8</v>
      </c>
      <c r="H24" s="14" t="n">
        <f aca="false">ROUND(_xlfn.STDEV.S(C15:G15),2)</f>
        <v>0.57</v>
      </c>
    </row>
    <row r="25" customFormat="false" ht="14.25" hidden="false" customHeight="false" outlineLevel="0" collapsed="false">
      <c r="B25" s="26" t="n">
        <v>0.3</v>
      </c>
      <c r="C25" s="14" t="n">
        <f aca="false">ROUND(AVERAGE(C4:H4),2)</f>
        <v>6.48</v>
      </c>
      <c r="D25" s="14" t="n">
        <f aca="false">ROUND(_xlfn.STDEV.S(C4:G4),2)</f>
        <v>1.22</v>
      </c>
      <c r="E25" s="14" t="n">
        <f aca="false">AVERAGE(C10:G10)</f>
        <v>9.14</v>
      </c>
      <c r="F25" s="14" t="n">
        <f aca="false">ROUND(_xlfn.STDEV.S(C10:G10),2)</f>
        <v>1.72</v>
      </c>
      <c r="G25" s="14" t="n">
        <f aca="false">AVERAGE(C16:G16)</f>
        <v>14.28</v>
      </c>
      <c r="H25" s="14" t="n">
        <f aca="false">ROUND(_xlfn.STDEV.S(C16:G16),2)</f>
        <v>1.69</v>
      </c>
    </row>
    <row r="26" customFormat="false" ht="14.25" hidden="false" customHeight="false" outlineLevel="0" collapsed="false">
      <c r="B26" s="26" t="n">
        <v>0.5</v>
      </c>
      <c r="C26" s="14" t="n">
        <f aca="false">ROUND(AVERAGE(C5:H5),2)</f>
        <v>3</v>
      </c>
      <c r="D26" s="14" t="n">
        <f aca="false">ROUND(_xlfn.STDEV.S(C5:G5),2)</f>
        <v>0.67</v>
      </c>
      <c r="E26" s="14" t="n">
        <f aca="false">AVERAGE(C11:G11)</f>
        <v>6.14</v>
      </c>
      <c r="F26" s="14" t="n">
        <f aca="false">ROUND(_xlfn.STDEV.S(C11:G11),2)</f>
        <v>0.83</v>
      </c>
      <c r="G26" s="14" t="n">
        <f aca="false">AVERAGE(C17:G17)</f>
        <v>11.44</v>
      </c>
      <c r="H26" s="14" t="n">
        <f aca="false">ROUND(_xlfn.STDEV.S(C17:G17),2)</f>
        <v>3.67</v>
      </c>
    </row>
    <row r="27" customFormat="false" ht="14.25" hidden="false" customHeight="false" outlineLevel="0" collapsed="false">
      <c r="B27" s="14" t="s">
        <v>0</v>
      </c>
      <c r="C27" s="14" t="n">
        <f aca="false">'Control Pea Shoot'!E10</f>
        <v>7.6125</v>
      </c>
      <c r="D27" s="14" t="n">
        <f aca="false">'Control Pea Shoot'!F10</f>
        <v>2.49</v>
      </c>
      <c r="E27" s="14" t="n">
        <f aca="false">'Control Pea Shoot'!G10</f>
        <v>11.8</v>
      </c>
      <c r="F27" s="14" t="n">
        <f aca="false">'Control Pea Shoot'!H10</f>
        <v>5.14</v>
      </c>
      <c r="G27" s="14" t="n">
        <f aca="false">'Control Pea Shoot'!I10</f>
        <v>15.87</v>
      </c>
      <c r="H27" s="14" t="n">
        <f aca="false">'Control Pea Shoot'!J10</f>
        <v>3.78</v>
      </c>
    </row>
  </sheetData>
  <mergeCells count="7">
    <mergeCell ref="A1:A5"/>
    <mergeCell ref="A7:A11"/>
    <mergeCell ref="A13:A17"/>
    <mergeCell ref="B21:B22"/>
    <mergeCell ref="C21:D21"/>
    <mergeCell ref="E21:F21"/>
    <mergeCell ref="G21:H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7"/>
  <sheetViews>
    <sheetView showFormulas="false" showGridLines="true" showRowColHeaders="true" showZeros="true" rightToLeft="false" tabSelected="false" showOutlineSymbols="true" defaultGridColor="true" view="normal" topLeftCell="B6" colorId="64" zoomScale="87" zoomScaleNormal="87" zoomScalePageLayoutView="100" workbookViewId="0">
      <selection pane="topLeft" activeCell="I11" activeCellId="0" sqref="I11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3"/>
    <col collapsed="false" customWidth="true" hidden="false" outlineLevel="0" max="39" min="3" style="0" width="9.63"/>
  </cols>
  <sheetData>
    <row r="1" customFormat="false" ht="15" hidden="false" customHeight="true" outlineLevel="0" collapsed="false">
      <c r="A1" s="24" t="s">
        <v>22</v>
      </c>
      <c r="B1" s="25" t="s">
        <v>28</v>
      </c>
      <c r="C1" s="25" t="s">
        <v>39</v>
      </c>
      <c r="D1" s="25" t="s">
        <v>40</v>
      </c>
      <c r="E1" s="25" t="s">
        <v>41</v>
      </c>
      <c r="F1" s="25" t="s">
        <v>42</v>
      </c>
      <c r="G1" s="25" t="s">
        <v>43</v>
      </c>
      <c r="H1" s="28" t="s">
        <v>21</v>
      </c>
    </row>
    <row r="2" customFormat="false" ht="15" hidden="false" customHeight="true" outlineLevel="0" collapsed="false">
      <c r="A2" s="24"/>
      <c r="B2" s="26" t="n">
        <v>0.1</v>
      </c>
      <c r="C2" s="8" t="n">
        <v>11.8</v>
      </c>
      <c r="D2" s="8" t="n">
        <v>11</v>
      </c>
      <c r="E2" s="8" t="n">
        <v>10.2</v>
      </c>
      <c r="F2" s="8" t="n">
        <v>8.4</v>
      </c>
      <c r="G2" s="8" t="n">
        <v>10.2</v>
      </c>
      <c r="H2" s="14" t="n">
        <f aca="false">AVERAGE(C2:G2)</f>
        <v>10.32</v>
      </c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</row>
    <row r="3" customFormat="false" ht="15" hidden="false" customHeight="true" outlineLevel="0" collapsed="false">
      <c r="A3" s="24"/>
      <c r="B3" s="26" t="n">
        <v>0.2</v>
      </c>
      <c r="C3" s="8" t="n">
        <v>9.2</v>
      </c>
      <c r="D3" s="8" t="n">
        <v>11.2</v>
      </c>
      <c r="E3" s="8" t="n">
        <v>9</v>
      </c>
      <c r="F3" s="8" t="n">
        <v>10.3</v>
      </c>
      <c r="G3" s="8" t="n">
        <v>8.5</v>
      </c>
      <c r="H3" s="14" t="n">
        <f aca="false">AVERAGE(C3:G3)</f>
        <v>9.64</v>
      </c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customFormat="false" ht="15" hidden="false" customHeight="true" outlineLevel="0" collapsed="false">
      <c r="A4" s="24"/>
      <c r="B4" s="26" t="n">
        <v>0.3</v>
      </c>
      <c r="C4" s="8" t="n">
        <v>8</v>
      </c>
      <c r="D4" s="8" t="n">
        <v>5.3</v>
      </c>
      <c r="E4" s="8" t="n">
        <v>7.5</v>
      </c>
      <c r="F4" s="8" t="n">
        <v>7.8</v>
      </c>
      <c r="G4" s="8" t="n">
        <v>4.3</v>
      </c>
      <c r="H4" s="14" t="n">
        <f aca="false">AVERAGE(C4:G4)</f>
        <v>6.58</v>
      </c>
    </row>
    <row r="5" customFormat="false" ht="15" hidden="false" customHeight="true" outlineLevel="0" collapsed="false">
      <c r="A5" s="24"/>
      <c r="B5" s="26" t="n">
        <v>0.5</v>
      </c>
      <c r="C5" s="8" t="n">
        <v>2.5</v>
      </c>
      <c r="D5" s="8" t="n">
        <v>1.4</v>
      </c>
      <c r="E5" s="8" t="n">
        <v>1.8</v>
      </c>
      <c r="F5" s="8"/>
      <c r="G5" s="8"/>
      <c r="H5" s="14" t="n">
        <f aca="false">ROUND(AVERAGE(C5:G5),2)</f>
        <v>1.9</v>
      </c>
    </row>
    <row r="7" customFormat="false" ht="14.25" hidden="false" customHeight="false" outlineLevel="0" collapsed="false">
      <c r="A7" s="24" t="s">
        <v>24</v>
      </c>
      <c r="B7" s="25" t="s">
        <v>28</v>
      </c>
      <c r="C7" s="25" t="s">
        <v>39</v>
      </c>
      <c r="D7" s="25" t="s">
        <v>40</v>
      </c>
      <c r="E7" s="25" t="s">
        <v>41</v>
      </c>
      <c r="F7" s="25" t="s">
        <v>42</v>
      </c>
      <c r="G7" s="25" t="s">
        <v>43</v>
      </c>
      <c r="H7" s="28" t="s">
        <v>21</v>
      </c>
    </row>
    <row r="8" customFormat="false" ht="14.25" hidden="false" customHeight="false" outlineLevel="0" collapsed="false">
      <c r="A8" s="24"/>
      <c r="B8" s="26" t="n">
        <v>0.1</v>
      </c>
      <c r="C8" s="8" t="n">
        <v>17</v>
      </c>
      <c r="D8" s="8" t="n">
        <v>19</v>
      </c>
      <c r="E8" s="8" t="n">
        <v>18</v>
      </c>
      <c r="F8" s="8" t="n">
        <v>17.5</v>
      </c>
      <c r="G8" s="8" t="n">
        <v>16.5</v>
      </c>
      <c r="H8" s="14" t="n">
        <f aca="false">AVERAGE(C8:G8)</f>
        <v>17.6</v>
      </c>
    </row>
    <row r="9" customFormat="false" ht="14.25" hidden="false" customHeight="false" outlineLevel="0" collapsed="false">
      <c r="A9" s="24"/>
      <c r="B9" s="26" t="n">
        <v>0.2</v>
      </c>
      <c r="C9" s="8" t="n">
        <v>18</v>
      </c>
      <c r="D9" s="8" t="n">
        <v>16.7</v>
      </c>
      <c r="E9" s="8" t="n">
        <v>17</v>
      </c>
      <c r="F9" s="8" t="n">
        <v>17.3</v>
      </c>
      <c r="G9" s="8" t="n">
        <v>17.2</v>
      </c>
      <c r="H9" s="14" t="n">
        <f aca="false">AVERAGE(C9:G9)</f>
        <v>17.24</v>
      </c>
    </row>
    <row r="10" customFormat="false" ht="14.25" hidden="false" customHeight="false" outlineLevel="0" collapsed="false">
      <c r="A10" s="24"/>
      <c r="B10" s="26" t="n">
        <v>0.3</v>
      </c>
      <c r="C10" s="8" t="n">
        <v>9.9</v>
      </c>
      <c r="D10" s="8" t="n">
        <v>8</v>
      </c>
      <c r="E10" s="8" t="n">
        <v>10.1</v>
      </c>
      <c r="F10" s="8" t="n">
        <v>9.4</v>
      </c>
      <c r="G10" s="8" t="n">
        <v>6.5</v>
      </c>
      <c r="H10" s="14" t="n">
        <f aca="false">AVERAGE(C10:G10)</f>
        <v>8.78</v>
      </c>
    </row>
    <row r="11" customFormat="false" ht="14.25" hidden="false" customHeight="false" outlineLevel="0" collapsed="false">
      <c r="A11" s="24"/>
      <c r="B11" s="26" t="n">
        <v>0.5</v>
      </c>
      <c r="C11" s="8" t="n">
        <v>5.8</v>
      </c>
      <c r="D11" s="8" t="n">
        <v>3.8</v>
      </c>
      <c r="E11" s="8" t="n">
        <v>1.4</v>
      </c>
      <c r="F11" s="8" t="n">
        <v>1.4</v>
      </c>
      <c r="G11" s="8"/>
      <c r="H11" s="14" t="n">
        <f aca="false">AVERAGE(C11:G11)</f>
        <v>3.1</v>
      </c>
    </row>
    <row r="13" customFormat="false" ht="14.25" hidden="false" customHeight="false" outlineLevel="0" collapsed="false">
      <c r="A13" s="24" t="s">
        <v>25</v>
      </c>
      <c r="B13" s="25" t="s">
        <v>28</v>
      </c>
      <c r="C13" s="25" t="s">
        <v>39</v>
      </c>
      <c r="D13" s="25" t="s">
        <v>40</v>
      </c>
      <c r="E13" s="25" t="s">
        <v>41</v>
      </c>
      <c r="F13" s="25" t="s">
        <v>42</v>
      </c>
      <c r="G13" s="25" t="s">
        <v>43</v>
      </c>
      <c r="H13" s="28" t="s">
        <v>21</v>
      </c>
    </row>
    <row r="14" customFormat="false" ht="14.25" hidden="false" customHeight="false" outlineLevel="0" collapsed="false">
      <c r="A14" s="24"/>
      <c r="B14" s="26" t="n">
        <v>0.1</v>
      </c>
      <c r="C14" s="8" t="n">
        <v>20.5</v>
      </c>
      <c r="D14" s="8" t="n">
        <v>21.5</v>
      </c>
      <c r="E14" s="8" t="n">
        <v>21.8</v>
      </c>
      <c r="F14" s="8" t="n">
        <v>21.6</v>
      </c>
      <c r="G14" s="8" t="n">
        <v>21.2</v>
      </c>
      <c r="H14" s="14" t="n">
        <f aca="false">AVERAGE(C14:G14)</f>
        <v>21.32</v>
      </c>
    </row>
    <row r="15" customFormat="false" ht="14.25" hidden="false" customHeight="false" outlineLevel="0" collapsed="false">
      <c r="A15" s="24"/>
      <c r="B15" s="26" t="n">
        <v>0.2</v>
      </c>
      <c r="C15" s="8" t="n">
        <v>20.5</v>
      </c>
      <c r="D15" s="8" t="n">
        <v>18.4</v>
      </c>
      <c r="E15" s="8" t="n">
        <v>21</v>
      </c>
      <c r="F15" s="8" t="n">
        <v>16.5</v>
      </c>
      <c r="G15" s="8" t="n">
        <v>17.7</v>
      </c>
      <c r="H15" s="14" t="n">
        <f aca="false">AVERAGE(C15:G15)</f>
        <v>18.82</v>
      </c>
    </row>
    <row r="16" customFormat="false" ht="14.25" hidden="false" customHeight="false" outlineLevel="0" collapsed="false">
      <c r="A16" s="24"/>
      <c r="B16" s="26" t="n">
        <v>0.3</v>
      </c>
      <c r="C16" s="8" t="n">
        <v>15.2</v>
      </c>
      <c r="D16" s="8" t="n">
        <v>14.5</v>
      </c>
      <c r="E16" s="8" t="n">
        <v>11.1</v>
      </c>
      <c r="F16" s="8" t="n">
        <v>13</v>
      </c>
      <c r="G16" s="8" t="n">
        <v>11</v>
      </c>
      <c r="H16" s="14" t="n">
        <f aca="false">AVERAGE(C16:G16)</f>
        <v>12.96</v>
      </c>
    </row>
    <row r="17" customFormat="false" ht="14.25" hidden="false" customHeight="false" outlineLevel="0" collapsed="false">
      <c r="A17" s="24"/>
      <c r="B17" s="26" t="n">
        <v>0.5</v>
      </c>
      <c r="C17" s="8" t="n">
        <v>11.5</v>
      </c>
      <c r="D17" s="8" t="n">
        <v>4</v>
      </c>
      <c r="E17" s="8" t="n">
        <v>7.5</v>
      </c>
      <c r="F17" s="8" t="n">
        <v>8.7</v>
      </c>
      <c r="G17" s="8" t="n">
        <v>6</v>
      </c>
      <c r="H17" s="14" t="n">
        <f aca="false">AVERAGE(C17:G17)</f>
        <v>7.54</v>
      </c>
    </row>
    <row r="21" customFormat="false" ht="14.25" hidden="false" customHeight="true" outlineLevel="0" collapsed="false">
      <c r="B21" s="25" t="s">
        <v>26</v>
      </c>
      <c r="C21" s="29" t="s">
        <v>22</v>
      </c>
      <c r="D21" s="29"/>
      <c r="E21" s="29" t="s">
        <v>24</v>
      </c>
      <c r="F21" s="29"/>
      <c r="G21" s="29" t="s">
        <v>25</v>
      </c>
      <c r="H21" s="29"/>
    </row>
    <row r="22" customFormat="false" ht="14.25" hidden="false" customHeight="false" outlineLevel="0" collapsed="false">
      <c r="B22" s="25"/>
      <c r="C22" s="28" t="s">
        <v>21</v>
      </c>
      <c r="D22" s="28" t="s">
        <v>27</v>
      </c>
      <c r="E22" s="28" t="s">
        <v>21</v>
      </c>
      <c r="F22" s="28" t="s">
        <v>27</v>
      </c>
      <c r="G22" s="28" t="s">
        <v>21</v>
      </c>
      <c r="H22" s="28" t="s">
        <v>27</v>
      </c>
    </row>
    <row r="23" customFormat="false" ht="14.25" hidden="false" customHeight="false" outlineLevel="0" collapsed="false">
      <c r="B23" s="26" t="n">
        <v>0.1</v>
      </c>
      <c r="C23" s="14" t="n">
        <f aca="false">ROUND(AVERAGE(C2:H2),2)</f>
        <v>10.32</v>
      </c>
      <c r="D23" s="14" t="n">
        <f aca="false">ROUND(_xlfn.STDEV.S(C2:G2),2)</f>
        <v>1.26</v>
      </c>
      <c r="E23" s="14" t="n">
        <f aca="false">AVERAGE(C8:G8)</f>
        <v>17.6</v>
      </c>
      <c r="F23" s="14" t="n">
        <f aca="false">ROUND(_xlfn.STDEV.S(C8:G8),2)</f>
        <v>0.96</v>
      </c>
      <c r="G23" s="14" t="n">
        <f aca="false">AVERAGE(C14:G14)</f>
        <v>21.32</v>
      </c>
      <c r="H23" s="14" t="n">
        <f aca="false">ROUND(_xlfn.STDEV.S(C14:G14),2)</f>
        <v>0.51</v>
      </c>
    </row>
    <row r="24" customFormat="false" ht="14.25" hidden="false" customHeight="false" outlineLevel="0" collapsed="false">
      <c r="B24" s="26" t="n">
        <v>0.2</v>
      </c>
      <c r="C24" s="14" t="n">
        <f aca="false">ROUND(AVERAGE(C3:H3),2)</f>
        <v>9.64</v>
      </c>
      <c r="D24" s="14" t="n">
        <f aca="false">ROUND(_xlfn.STDEV.S(C3:G3),2)</f>
        <v>1.09</v>
      </c>
      <c r="E24" s="14" t="n">
        <f aca="false">AVERAGE(C9:G9)</f>
        <v>17.24</v>
      </c>
      <c r="F24" s="14" t="n">
        <f aca="false">ROUND(_xlfn.STDEV.S(C9:G9),2)</f>
        <v>0.48</v>
      </c>
      <c r="G24" s="14" t="n">
        <f aca="false">AVERAGE(C15:G15)</f>
        <v>18.82</v>
      </c>
      <c r="H24" s="14" t="n">
        <f aca="false">ROUND(_xlfn.STDEV.S(C15:G15),2)</f>
        <v>1.9</v>
      </c>
    </row>
    <row r="25" customFormat="false" ht="14.25" hidden="false" customHeight="false" outlineLevel="0" collapsed="false">
      <c r="B25" s="26" t="n">
        <v>0.3</v>
      </c>
      <c r="C25" s="14" t="n">
        <f aca="false">ROUND(AVERAGE(C4:H4),2)</f>
        <v>6.58</v>
      </c>
      <c r="D25" s="14" t="n">
        <f aca="false">ROUND(_xlfn.STDEV.S(C4:G4),2)</f>
        <v>1.67</v>
      </c>
      <c r="E25" s="14" t="n">
        <f aca="false">AVERAGE(C10:G10)</f>
        <v>8.78</v>
      </c>
      <c r="F25" s="14" t="n">
        <f aca="false">ROUND(_xlfn.STDEV.S(C10:G10),2)</f>
        <v>1.52</v>
      </c>
      <c r="G25" s="14" t="n">
        <f aca="false">AVERAGE(C16:G16)</f>
        <v>12.96</v>
      </c>
      <c r="H25" s="14" t="n">
        <f aca="false">ROUND(_xlfn.STDEV.S(C16:G16),2)</f>
        <v>1.92</v>
      </c>
    </row>
    <row r="26" customFormat="false" ht="14.25" hidden="false" customHeight="false" outlineLevel="0" collapsed="false">
      <c r="B26" s="26" t="n">
        <v>0.5</v>
      </c>
      <c r="C26" s="14" t="n">
        <f aca="false">ROUND(AVERAGE(C5:H5),2)</f>
        <v>1.9</v>
      </c>
      <c r="D26" s="14" t="n">
        <f aca="false">ROUND(_xlfn.STDEV.S(C5:G5),2)</f>
        <v>0.56</v>
      </c>
      <c r="E26" s="14" t="n">
        <f aca="false">AVERAGE(C11:G11)</f>
        <v>3.1</v>
      </c>
      <c r="F26" s="14" t="n">
        <f aca="false">ROUND(_xlfn.STDEV.S(C11:G11),2)</f>
        <v>2.13</v>
      </c>
      <c r="G26" s="14" t="n">
        <f aca="false">AVERAGE(C17:G17)</f>
        <v>7.54</v>
      </c>
      <c r="H26" s="14" t="n">
        <f aca="false">ROUND(_xlfn.STDEV.S(C17:G17),2)</f>
        <v>2.83</v>
      </c>
    </row>
    <row r="27" customFormat="false" ht="14.25" hidden="false" customHeight="false" outlineLevel="0" collapsed="false">
      <c r="B27" s="14" t="s">
        <v>0</v>
      </c>
      <c r="C27" s="14" t="n">
        <f aca="false">'Control Pea Shoot'!E10</f>
        <v>7.6125</v>
      </c>
      <c r="D27" s="14" t="n">
        <f aca="false">'Control Pea Shoot'!F10</f>
        <v>2.49</v>
      </c>
      <c r="E27" s="14" t="n">
        <f aca="false">'Control Pea Shoot'!G10</f>
        <v>11.8</v>
      </c>
      <c r="F27" s="14" t="n">
        <f aca="false">'Control Pea Shoot'!H10</f>
        <v>5.14</v>
      </c>
      <c r="G27" s="14" t="n">
        <f aca="false">'Control Pea Shoot'!I10</f>
        <v>15.87</v>
      </c>
      <c r="H27" s="14" t="n">
        <f aca="false">'Control Pea Shoot'!J10</f>
        <v>3.78</v>
      </c>
    </row>
  </sheetData>
  <mergeCells count="7">
    <mergeCell ref="A1:A5"/>
    <mergeCell ref="A7:A11"/>
    <mergeCell ref="A13:A17"/>
    <mergeCell ref="B21:B22"/>
    <mergeCell ref="C21:D21"/>
    <mergeCell ref="E21:F21"/>
    <mergeCell ref="G21:H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27"/>
  <sheetViews>
    <sheetView showFormulas="false" showGridLines="true" showRowColHeaders="true" showZeros="true" rightToLeft="false" tabSelected="false" showOutlineSymbols="true" defaultGridColor="true" view="normal" topLeftCell="A9" colorId="64" zoomScale="87" zoomScaleNormal="87" zoomScalePageLayoutView="100" workbookViewId="0">
      <selection pane="topLeft" activeCell="J29" activeCellId="0" sqref="J29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3"/>
    <col collapsed="false" customWidth="true" hidden="false" outlineLevel="0" max="39" min="3" style="0" width="9.63"/>
  </cols>
  <sheetData>
    <row r="1" customFormat="false" ht="15" hidden="false" customHeight="true" outlineLevel="0" collapsed="false">
      <c r="A1" s="24" t="s">
        <v>22</v>
      </c>
      <c r="B1" s="25" t="s">
        <v>28</v>
      </c>
      <c r="C1" s="25" t="s">
        <v>39</v>
      </c>
      <c r="D1" s="25" t="s">
        <v>40</v>
      </c>
      <c r="E1" s="25" t="s">
        <v>41</v>
      </c>
      <c r="F1" s="25" t="s">
        <v>42</v>
      </c>
      <c r="G1" s="25" t="s">
        <v>43</v>
      </c>
      <c r="H1" s="28" t="s">
        <v>21</v>
      </c>
    </row>
    <row r="2" customFormat="false" ht="15" hidden="false" customHeight="true" outlineLevel="0" collapsed="false">
      <c r="A2" s="24"/>
      <c r="B2" s="26" t="n">
        <v>0.1</v>
      </c>
      <c r="C2" s="8" t="n">
        <v>10.2</v>
      </c>
      <c r="D2" s="8" t="n">
        <v>11.4</v>
      </c>
      <c r="E2" s="8" t="n">
        <v>9.3</v>
      </c>
      <c r="F2" s="8" t="n">
        <v>9.4</v>
      </c>
      <c r="G2" s="8" t="n">
        <v>9.1</v>
      </c>
      <c r="H2" s="14" t="n">
        <f aca="false">AVERAGE(C2:G2)</f>
        <v>9.88</v>
      </c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</row>
    <row r="3" customFormat="false" ht="15" hidden="false" customHeight="true" outlineLevel="0" collapsed="false">
      <c r="A3" s="24"/>
      <c r="B3" s="26" t="n">
        <v>0.2</v>
      </c>
      <c r="C3" s="8" t="n">
        <v>9.4</v>
      </c>
      <c r="D3" s="8" t="n">
        <v>9.2</v>
      </c>
      <c r="E3" s="8" t="n">
        <v>8.3</v>
      </c>
      <c r="F3" s="8" t="n">
        <v>10.1</v>
      </c>
      <c r="G3" s="8" t="n">
        <v>10.1</v>
      </c>
      <c r="H3" s="14" t="n">
        <f aca="false">AVERAGE(C3:G3)</f>
        <v>9.42</v>
      </c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customFormat="false" ht="15" hidden="false" customHeight="true" outlineLevel="0" collapsed="false">
      <c r="A4" s="24"/>
      <c r="B4" s="26" t="n">
        <v>0.3</v>
      </c>
      <c r="C4" s="8" t="n">
        <v>1.3</v>
      </c>
      <c r="D4" s="8" t="n">
        <v>9.2</v>
      </c>
      <c r="E4" s="8" t="n">
        <v>1.3</v>
      </c>
      <c r="F4" s="8"/>
      <c r="G4" s="8"/>
      <c r="H4" s="14" t="n">
        <f aca="false">AVERAGE(C4:G4)</f>
        <v>3.93333333333333</v>
      </c>
    </row>
    <row r="5" customFormat="false" ht="15" hidden="false" customHeight="true" outlineLevel="0" collapsed="false">
      <c r="A5" s="24"/>
      <c r="B5" s="26" t="n">
        <v>0.5</v>
      </c>
      <c r="C5" s="8" t="n">
        <v>6.8</v>
      </c>
      <c r="D5" s="8" t="n">
        <v>2.3</v>
      </c>
      <c r="E5" s="8" t="n">
        <v>1.7</v>
      </c>
      <c r="F5" s="8"/>
      <c r="G5" s="8"/>
      <c r="H5" s="14" t="n">
        <f aca="false">ROUND(AVERAGE(C5:G5),2)</f>
        <v>3.6</v>
      </c>
    </row>
    <row r="7" customFormat="false" ht="14.25" hidden="false" customHeight="false" outlineLevel="0" collapsed="false">
      <c r="A7" s="24" t="s">
        <v>24</v>
      </c>
      <c r="B7" s="25" t="s">
        <v>28</v>
      </c>
      <c r="C7" s="25" t="s">
        <v>39</v>
      </c>
      <c r="D7" s="25" t="s">
        <v>40</v>
      </c>
      <c r="E7" s="25" t="s">
        <v>41</v>
      </c>
      <c r="F7" s="25" t="s">
        <v>42</v>
      </c>
      <c r="G7" s="25" t="s">
        <v>43</v>
      </c>
      <c r="H7" s="28" t="s">
        <v>21</v>
      </c>
    </row>
    <row r="8" customFormat="false" ht="14.25" hidden="false" customHeight="false" outlineLevel="0" collapsed="false">
      <c r="A8" s="24"/>
      <c r="B8" s="26" t="n">
        <v>0.1</v>
      </c>
      <c r="C8" s="8" t="n">
        <v>18.5</v>
      </c>
      <c r="D8" s="8" t="n">
        <v>18</v>
      </c>
      <c r="E8" s="8" t="n">
        <v>18</v>
      </c>
      <c r="F8" s="8" t="n">
        <v>16</v>
      </c>
      <c r="G8" s="8" t="n">
        <v>15</v>
      </c>
      <c r="H8" s="14" t="n">
        <f aca="false">AVERAGE(C8:G8)</f>
        <v>17.1</v>
      </c>
    </row>
    <row r="9" customFormat="false" ht="14.25" hidden="false" customHeight="false" outlineLevel="0" collapsed="false">
      <c r="A9" s="24"/>
      <c r="B9" s="26" t="n">
        <v>0.2</v>
      </c>
      <c r="C9" s="8" t="n">
        <v>14.5</v>
      </c>
      <c r="D9" s="8" t="n">
        <v>17</v>
      </c>
      <c r="E9" s="8" t="n">
        <v>16.5</v>
      </c>
      <c r="F9" s="8" t="n">
        <v>15</v>
      </c>
      <c r="G9" s="8" t="n">
        <v>15</v>
      </c>
      <c r="H9" s="14" t="n">
        <f aca="false">AVERAGE(C9:G9)</f>
        <v>15.6</v>
      </c>
    </row>
    <row r="10" customFormat="false" ht="14.25" hidden="false" customHeight="false" outlineLevel="0" collapsed="false">
      <c r="A10" s="24"/>
      <c r="B10" s="26" t="n">
        <v>0.3</v>
      </c>
      <c r="C10" s="8" t="n">
        <v>4.2</v>
      </c>
      <c r="D10" s="8" t="n">
        <v>2.3</v>
      </c>
      <c r="E10" s="8" t="n">
        <v>10.4</v>
      </c>
      <c r="F10" s="8" t="n">
        <v>1.4</v>
      </c>
      <c r="G10" s="8" t="n">
        <v>2.5</v>
      </c>
      <c r="H10" s="14" t="n">
        <f aca="false">AVERAGE(C10:G10)</f>
        <v>4.16</v>
      </c>
    </row>
    <row r="11" customFormat="false" ht="14.25" hidden="false" customHeight="false" outlineLevel="0" collapsed="false">
      <c r="A11" s="24"/>
      <c r="B11" s="26" t="n">
        <v>0.5</v>
      </c>
      <c r="C11" s="8" t="n">
        <v>3.9</v>
      </c>
      <c r="D11" s="8" t="n">
        <v>4.6</v>
      </c>
      <c r="E11" s="8" t="n">
        <v>8.7</v>
      </c>
      <c r="F11" s="8" t="n">
        <v>1.4</v>
      </c>
      <c r="G11" s="8"/>
      <c r="H11" s="14" t="n">
        <f aca="false">AVERAGE(C11:G11)</f>
        <v>4.65</v>
      </c>
    </row>
    <row r="13" customFormat="false" ht="14.25" hidden="false" customHeight="false" outlineLevel="0" collapsed="false">
      <c r="A13" s="24" t="s">
        <v>25</v>
      </c>
      <c r="B13" s="25" t="s">
        <v>28</v>
      </c>
      <c r="C13" s="25" t="s">
        <v>39</v>
      </c>
      <c r="D13" s="25" t="s">
        <v>40</v>
      </c>
      <c r="E13" s="25" t="s">
        <v>41</v>
      </c>
      <c r="F13" s="25" t="s">
        <v>42</v>
      </c>
      <c r="G13" s="25" t="s">
        <v>43</v>
      </c>
      <c r="H13" s="28" t="s">
        <v>21</v>
      </c>
    </row>
    <row r="14" customFormat="false" ht="14.25" hidden="false" customHeight="false" outlineLevel="0" collapsed="false">
      <c r="A14" s="24"/>
      <c r="B14" s="26" t="n">
        <v>0.1</v>
      </c>
      <c r="C14" s="8" t="n">
        <v>18.5</v>
      </c>
      <c r="D14" s="8" t="n">
        <v>19</v>
      </c>
      <c r="E14" s="8" t="n">
        <v>20</v>
      </c>
      <c r="F14" s="8" t="n">
        <v>19.5</v>
      </c>
      <c r="G14" s="8" t="n">
        <v>17</v>
      </c>
      <c r="H14" s="14" t="n">
        <f aca="false">AVERAGE(C14:G14)</f>
        <v>18.8</v>
      </c>
    </row>
    <row r="15" customFormat="false" ht="14.25" hidden="false" customHeight="false" outlineLevel="0" collapsed="false">
      <c r="A15" s="24"/>
      <c r="B15" s="26" t="n">
        <v>0.2</v>
      </c>
      <c r="C15" s="8" t="n">
        <v>18.5</v>
      </c>
      <c r="D15" s="8" t="n">
        <v>19.5</v>
      </c>
      <c r="E15" s="8" t="n">
        <v>19.5</v>
      </c>
      <c r="F15" s="8" t="n">
        <v>19</v>
      </c>
      <c r="G15" s="8" t="n">
        <v>19.5</v>
      </c>
      <c r="H15" s="14" t="n">
        <f aca="false">AVERAGE(C15:G15)</f>
        <v>19.2</v>
      </c>
    </row>
    <row r="16" customFormat="false" ht="14.25" hidden="false" customHeight="false" outlineLevel="0" collapsed="false">
      <c r="A16" s="24"/>
      <c r="B16" s="26" t="n">
        <v>0.3</v>
      </c>
      <c r="C16" s="8" t="n">
        <v>13</v>
      </c>
      <c r="D16" s="8" t="n">
        <v>8.3</v>
      </c>
      <c r="E16" s="8" t="n">
        <v>7.2</v>
      </c>
      <c r="F16" s="8" t="n">
        <v>10.1</v>
      </c>
      <c r="G16" s="8" t="n">
        <v>7.7</v>
      </c>
      <c r="H16" s="14" t="n">
        <f aca="false">AVERAGE(C16:G16)</f>
        <v>9.26</v>
      </c>
    </row>
    <row r="17" customFormat="false" ht="14.25" hidden="false" customHeight="false" outlineLevel="0" collapsed="false">
      <c r="A17" s="24"/>
      <c r="B17" s="26" t="n">
        <v>0.5</v>
      </c>
      <c r="C17" s="8" t="n">
        <v>13</v>
      </c>
      <c r="D17" s="8" t="n">
        <v>11.1</v>
      </c>
      <c r="E17" s="8" t="n">
        <v>5</v>
      </c>
      <c r="F17" s="8" t="n">
        <v>6.5</v>
      </c>
      <c r="G17" s="8" t="n">
        <v>3.2</v>
      </c>
      <c r="H17" s="14" t="n">
        <f aca="false">AVERAGE(C17:G17)</f>
        <v>7.76</v>
      </c>
    </row>
    <row r="21" customFormat="false" ht="14.25" hidden="false" customHeight="true" outlineLevel="0" collapsed="false">
      <c r="B21" s="25" t="s">
        <v>26</v>
      </c>
      <c r="C21" s="29" t="s">
        <v>22</v>
      </c>
      <c r="D21" s="29"/>
      <c r="E21" s="29" t="s">
        <v>24</v>
      </c>
      <c r="F21" s="29"/>
      <c r="G21" s="29" t="s">
        <v>25</v>
      </c>
      <c r="H21" s="29"/>
    </row>
    <row r="22" customFormat="false" ht="14.25" hidden="false" customHeight="false" outlineLevel="0" collapsed="false">
      <c r="B22" s="25"/>
      <c r="C22" s="28" t="s">
        <v>21</v>
      </c>
      <c r="D22" s="28" t="s">
        <v>27</v>
      </c>
      <c r="E22" s="28" t="s">
        <v>21</v>
      </c>
      <c r="F22" s="28" t="s">
        <v>27</v>
      </c>
      <c r="G22" s="28" t="s">
        <v>21</v>
      </c>
      <c r="H22" s="28" t="s">
        <v>27</v>
      </c>
    </row>
    <row r="23" customFormat="false" ht="14.25" hidden="false" customHeight="false" outlineLevel="0" collapsed="false">
      <c r="B23" s="26" t="n">
        <v>0.1</v>
      </c>
      <c r="C23" s="14" t="n">
        <f aca="false">ROUND(AVERAGE(C2:H2),2)</f>
        <v>9.88</v>
      </c>
      <c r="D23" s="14" t="n">
        <f aca="false">ROUND(_xlfn.STDEV.S(C2:G2),2)</f>
        <v>0.95</v>
      </c>
      <c r="E23" s="14" t="n">
        <f aca="false">AVERAGE(C8:G8)</f>
        <v>17.1</v>
      </c>
      <c r="F23" s="14" t="n">
        <f aca="false">ROUND(_xlfn.STDEV.S(C8:G8),2)</f>
        <v>1.52</v>
      </c>
      <c r="G23" s="14" t="n">
        <f aca="false">AVERAGE(C14:G14)</f>
        <v>18.8</v>
      </c>
      <c r="H23" s="14" t="n">
        <f aca="false">ROUND(_xlfn.STDEV.S(C14:G14),2)</f>
        <v>1.15</v>
      </c>
    </row>
    <row r="24" customFormat="false" ht="14.25" hidden="false" customHeight="false" outlineLevel="0" collapsed="false">
      <c r="B24" s="26" t="n">
        <v>0.2</v>
      </c>
      <c r="C24" s="14" t="n">
        <f aca="false">ROUND(AVERAGE(C3:H3),2)</f>
        <v>9.42</v>
      </c>
      <c r="D24" s="14" t="n">
        <f aca="false">ROUND(_xlfn.STDEV.S(C3:G3),2)</f>
        <v>0.75</v>
      </c>
      <c r="E24" s="14" t="n">
        <f aca="false">AVERAGE(C9:G9)</f>
        <v>15.6</v>
      </c>
      <c r="F24" s="14" t="n">
        <f aca="false">ROUND(_xlfn.STDEV.S(C9:G9),2)</f>
        <v>1.08</v>
      </c>
      <c r="G24" s="14" t="n">
        <f aca="false">AVERAGE(C15:G15)</f>
        <v>19.2</v>
      </c>
      <c r="H24" s="14" t="n">
        <f aca="false">ROUND(_xlfn.STDEV.S(C15:G15),2)</f>
        <v>0.45</v>
      </c>
    </row>
    <row r="25" customFormat="false" ht="14.25" hidden="false" customHeight="false" outlineLevel="0" collapsed="false">
      <c r="B25" s="26" t="n">
        <v>0.3</v>
      </c>
      <c r="C25" s="14" t="n">
        <f aca="false">ROUND(AVERAGE(C4:H4),2)</f>
        <v>3.93</v>
      </c>
      <c r="D25" s="14" t="n">
        <f aca="false">ROUND(_xlfn.STDEV.S(C4:G4),2)</f>
        <v>4.56</v>
      </c>
      <c r="E25" s="14" t="n">
        <f aca="false">AVERAGE(C10:G10)</f>
        <v>4.16</v>
      </c>
      <c r="F25" s="14" t="n">
        <f aca="false">ROUND(_xlfn.STDEV.S(C10:G10),2)</f>
        <v>3.63</v>
      </c>
      <c r="G25" s="14" t="n">
        <f aca="false">AVERAGE(C16:G16)</f>
        <v>9.26</v>
      </c>
      <c r="H25" s="14" t="n">
        <f aca="false">ROUND(_xlfn.STDEV.S(C16:G16),2)</f>
        <v>2.36</v>
      </c>
    </row>
    <row r="26" customFormat="false" ht="14.25" hidden="false" customHeight="false" outlineLevel="0" collapsed="false">
      <c r="B26" s="26" t="n">
        <v>0.5</v>
      </c>
      <c r="C26" s="14" t="n">
        <f aca="false">ROUND(AVERAGE(C5:H5),2)</f>
        <v>3.6</v>
      </c>
      <c r="D26" s="14" t="n">
        <f aca="false">ROUND(_xlfn.STDEV.S(C5:G5),2)</f>
        <v>2.79</v>
      </c>
      <c r="E26" s="14" t="n">
        <f aca="false">AVERAGE(C11:G11)</f>
        <v>4.65</v>
      </c>
      <c r="F26" s="14" t="n">
        <f aca="false">ROUND(_xlfn.STDEV.S(C11:G11),2)</f>
        <v>3.03</v>
      </c>
      <c r="G26" s="14" t="n">
        <f aca="false">AVERAGE(C17:G17)</f>
        <v>7.76</v>
      </c>
      <c r="H26" s="14" t="n">
        <f aca="false">ROUND(_xlfn.STDEV.S(C17:G17),2)</f>
        <v>4.14</v>
      </c>
    </row>
    <row r="27" customFormat="false" ht="14.25" hidden="false" customHeight="false" outlineLevel="0" collapsed="false">
      <c r="B27" s="14" t="s">
        <v>0</v>
      </c>
      <c r="C27" s="14" t="n">
        <f aca="false">'Control Pea Shoot'!E10</f>
        <v>7.6125</v>
      </c>
      <c r="D27" s="14" t="n">
        <f aca="false">'Control Pea Shoot'!F10</f>
        <v>2.49</v>
      </c>
      <c r="E27" s="14" t="n">
        <f aca="false">'Control Pea Shoot'!G10</f>
        <v>11.8</v>
      </c>
      <c r="F27" s="14" t="n">
        <f aca="false">'Control Pea Shoot'!H10</f>
        <v>5.14</v>
      </c>
      <c r="G27" s="14" t="n">
        <f aca="false">'Control Pea Shoot'!I10</f>
        <v>15.87</v>
      </c>
      <c r="H27" s="14" t="n">
        <f aca="false">'Control Pea Shoot'!J10</f>
        <v>3.78</v>
      </c>
    </row>
  </sheetData>
  <mergeCells count="7">
    <mergeCell ref="A1:A5"/>
    <mergeCell ref="A7:A11"/>
    <mergeCell ref="A13:A17"/>
    <mergeCell ref="B21:B22"/>
    <mergeCell ref="C21:D21"/>
    <mergeCell ref="E21:F21"/>
    <mergeCell ref="G21:H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true" showOutlineSymbols="true" defaultGridColor="true" view="normal" topLeftCell="A1" colorId="64" zoomScale="99" zoomScaleNormal="99" zoomScalePageLayoutView="100" workbookViewId="0">
      <selection pane="topLeft" activeCell="J22" activeCellId="0" sqref="J22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3.13"/>
    <col collapsed="false" customWidth="true" hidden="false" outlineLevel="0" max="3" min="3" style="0" width="9.63"/>
    <col collapsed="false" customWidth="true" hidden="false" outlineLevel="0" max="4" min="4" style="0" width="14.74"/>
    <col collapsed="false" customWidth="true" hidden="false" outlineLevel="0" max="29" min="5" style="0" width="9.63"/>
  </cols>
  <sheetData>
    <row r="1" customFormat="false" ht="15" hidden="false" customHeight="true" outlineLevel="0" collapsed="false">
      <c r="A1" s="30"/>
      <c r="B1" s="25" t="s">
        <v>44</v>
      </c>
      <c r="C1" s="25" t="s">
        <v>1</v>
      </c>
      <c r="D1" s="25" t="s">
        <v>2</v>
      </c>
      <c r="E1" s="38" t="s">
        <v>3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8</v>
      </c>
      <c r="K1" s="25" t="s">
        <v>9</v>
      </c>
      <c r="L1" s="25" t="s">
        <v>10</v>
      </c>
      <c r="M1" s="29" t="s">
        <v>21</v>
      </c>
    </row>
    <row r="2" s="18" customFormat="true" ht="15" hidden="false" customHeight="true" outlineLevel="0" collapsed="false">
      <c r="A2" s="30" t="s">
        <v>25</v>
      </c>
      <c r="B2" s="26" t="s">
        <v>23</v>
      </c>
      <c r="C2" s="14" t="n">
        <v>11</v>
      </c>
      <c r="D2" s="14" t="n">
        <v>12</v>
      </c>
      <c r="E2" s="15" t="n">
        <v>10.5</v>
      </c>
      <c r="F2" s="16" t="n">
        <v>11.6</v>
      </c>
      <c r="G2" s="16" t="n">
        <v>11.6</v>
      </c>
      <c r="H2" s="16" t="n">
        <v>16.6</v>
      </c>
      <c r="I2" s="16" t="n">
        <v>10.4</v>
      </c>
      <c r="J2" s="16" t="n">
        <v>18.4</v>
      </c>
      <c r="K2" s="16" t="n">
        <v>12.1</v>
      </c>
      <c r="L2" s="16" t="n">
        <v>10.6</v>
      </c>
      <c r="M2" s="14" t="n">
        <f aca="false">AVERAGE(C2:L2)</f>
        <v>12.48</v>
      </c>
    </row>
    <row r="3" customFormat="false" ht="15" hidden="false" customHeight="true" outlineLevel="0" collapsed="false"/>
    <row r="4" customFormat="false" ht="15" hidden="false" customHeight="true" outlineLevel="0" collapsed="false"/>
    <row r="6" customFormat="false" ht="14.25" hidden="false" customHeight="true" outlineLevel="0" collapsed="false">
      <c r="D6" s="25" t="s">
        <v>26</v>
      </c>
      <c r="E6" s="29" t="s">
        <v>25</v>
      </c>
      <c r="F6" s="29"/>
    </row>
    <row r="7" customFormat="false" ht="28.5" hidden="false" customHeight="true" outlineLevel="0" collapsed="false">
      <c r="D7" s="25"/>
      <c r="E7" s="28" t="s">
        <v>21</v>
      </c>
      <c r="F7" s="28" t="s">
        <v>27</v>
      </c>
    </row>
    <row r="8" customFormat="false" ht="27" hidden="false" customHeight="true" outlineLevel="0" collapsed="false">
      <c r="D8" s="26" t="s">
        <v>0</v>
      </c>
      <c r="E8" s="14" t="n">
        <f aca="false">AVERAGE(C2:L2)</f>
        <v>12.48</v>
      </c>
      <c r="F8" s="14" t="n">
        <f aca="false">ROUND(_xlfn.STDEV.S(C2:L2),2)</f>
        <v>2.75</v>
      </c>
    </row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>
      <c r="I12" s="34"/>
      <c r="J12" s="34"/>
      <c r="K12" s="34"/>
      <c r="L12" s="34"/>
      <c r="M12" s="34"/>
    </row>
    <row r="13" customFormat="false" ht="13.8" hidden="false" customHeight="false" outlineLevel="0" collapsed="false">
      <c r="A13" s="18"/>
      <c r="B13" s="35"/>
      <c r="C13" s="35"/>
      <c r="D13" s="35"/>
      <c r="E13" s="35"/>
      <c r="F13" s="35"/>
      <c r="G13" s="35"/>
      <c r="H13" s="35"/>
      <c r="I13" s="34"/>
      <c r="J13" s="34"/>
      <c r="K13" s="34"/>
      <c r="L13" s="34"/>
      <c r="M13" s="34"/>
    </row>
    <row r="14" customFormat="false" ht="13.8" hidden="false" customHeight="false" outlineLevel="0" collapsed="false">
      <c r="A14" s="18"/>
      <c r="B14" s="36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</row>
    <row r="15" customFormat="false" ht="13.8" hidden="false" customHeight="false" outlineLevel="0" collapsed="false">
      <c r="A15" s="18"/>
      <c r="B15" s="36"/>
      <c r="C15" s="37"/>
      <c r="D15" s="37"/>
      <c r="E15" s="37"/>
      <c r="F15" s="37"/>
      <c r="G15" s="37"/>
      <c r="H15" s="37"/>
      <c r="I15" s="37"/>
      <c r="N15" s="34"/>
    </row>
    <row r="16" customFormat="false" ht="13.8" hidden="false" customHeight="false" outlineLevel="0" collapsed="false">
      <c r="A16" s="18"/>
      <c r="B16" s="18"/>
      <c r="C16" s="27"/>
      <c r="D16" s="27"/>
      <c r="E16" s="27"/>
      <c r="F16" s="27"/>
      <c r="G16" s="27"/>
      <c r="H16" s="27"/>
      <c r="I16" s="27"/>
    </row>
    <row r="17" customFormat="false" ht="13.8" hidden="false" customHeight="false" outlineLevel="0" collapsed="false"/>
  </sheetData>
  <mergeCells count="2">
    <mergeCell ref="D6:D7"/>
    <mergeCell ref="E6:F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G6" activeCellId="0" sqref="G6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4.5"/>
    <col collapsed="false" customWidth="true" hidden="false" outlineLevel="0" max="39" min="3" style="0" width="9.63"/>
  </cols>
  <sheetData>
    <row r="1" customFormat="false" ht="14.25" hidden="false" customHeight="false" outlineLevel="0" collapsed="false">
      <c r="A1" s="24" t="s">
        <v>25</v>
      </c>
      <c r="B1" s="25" t="s">
        <v>28</v>
      </c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8" t="s">
        <v>21</v>
      </c>
    </row>
    <row r="2" customFormat="false" ht="13.5" hidden="false" customHeight="false" outlineLevel="0" collapsed="false">
      <c r="A2" s="24"/>
      <c r="B2" s="26" t="n">
        <v>0.1</v>
      </c>
      <c r="C2" s="8" t="n">
        <v>14.8</v>
      </c>
      <c r="D2" s="8" t="n">
        <v>14</v>
      </c>
      <c r="E2" s="8" t="n">
        <v>15.7</v>
      </c>
      <c r="F2" s="8" t="n">
        <v>12.6</v>
      </c>
      <c r="G2" s="8" t="n">
        <v>12.9</v>
      </c>
      <c r="H2" s="14" t="n">
        <f aca="false">AVERAGE(C2:G2)</f>
        <v>14</v>
      </c>
    </row>
    <row r="3" customFormat="false" ht="13.5" hidden="false" customHeight="false" outlineLevel="0" collapsed="false">
      <c r="A3" s="24"/>
      <c r="B3" s="26" t="n">
        <v>0.2</v>
      </c>
      <c r="C3" s="8" t="n">
        <v>17.4</v>
      </c>
      <c r="D3" s="8" t="n">
        <v>17</v>
      </c>
      <c r="E3" s="8" t="n">
        <v>15.7</v>
      </c>
      <c r="F3" s="8" t="n">
        <v>12.6</v>
      </c>
      <c r="G3" s="8" t="n">
        <v>15.5</v>
      </c>
      <c r="H3" s="14" t="n">
        <f aca="false">AVERAGE(C3:G3)</f>
        <v>15.64</v>
      </c>
    </row>
    <row r="4" customFormat="false" ht="13.5" hidden="false" customHeight="false" outlineLevel="0" collapsed="false">
      <c r="A4" s="24"/>
      <c r="B4" s="26" t="n">
        <v>0.3</v>
      </c>
      <c r="C4" s="8" t="n">
        <v>20.5</v>
      </c>
      <c r="D4" s="8" t="n">
        <v>17.8</v>
      </c>
      <c r="E4" s="8" t="n">
        <v>18.6</v>
      </c>
      <c r="F4" s="8" t="n">
        <v>20.5</v>
      </c>
      <c r="G4" s="8" t="n">
        <v>18</v>
      </c>
      <c r="H4" s="14" t="n">
        <f aca="false">AVERAGE(C4:G4)</f>
        <v>19.08</v>
      </c>
    </row>
    <row r="5" customFormat="false" ht="13.5" hidden="false" customHeight="false" outlineLevel="0" collapsed="false">
      <c r="A5" s="24"/>
      <c r="B5" s="26" t="n">
        <v>0.5</v>
      </c>
      <c r="C5" s="8" t="n">
        <v>14.5</v>
      </c>
      <c r="D5" s="8" t="n">
        <v>18.5</v>
      </c>
      <c r="E5" s="8" t="n">
        <v>11</v>
      </c>
      <c r="F5" s="8" t="n">
        <v>10.5</v>
      </c>
      <c r="G5" s="8" t="n">
        <v>14.3</v>
      </c>
      <c r="H5" s="14" t="n">
        <f aca="false">AVERAGE(C5:G5)</f>
        <v>13.76</v>
      </c>
    </row>
    <row r="7" customFormat="false" ht="14.25" hidden="false" customHeight="false" outlineLevel="0" collapsed="false">
      <c r="H7" s="39"/>
    </row>
    <row r="8" customFormat="false" ht="14.25" hidden="false" customHeight="false" outlineLevel="0" collapsed="false">
      <c r="H8" s="34"/>
    </row>
    <row r="9" customFormat="false" ht="14.25" hidden="false" customHeight="true" outlineLevel="0" collapsed="false">
      <c r="B9" s="25" t="s">
        <v>26</v>
      </c>
      <c r="C9" s="29" t="s">
        <v>25</v>
      </c>
      <c r="D9" s="29"/>
      <c r="H9" s="34"/>
    </row>
    <row r="10" customFormat="false" ht="14.25" hidden="false" customHeight="true" outlineLevel="0" collapsed="false">
      <c r="B10" s="25"/>
      <c r="C10" s="28" t="s">
        <v>21</v>
      </c>
      <c r="D10" s="28" t="s">
        <v>27</v>
      </c>
      <c r="H10" s="34"/>
    </row>
    <row r="11" customFormat="false" ht="14.25" hidden="false" customHeight="true" outlineLevel="0" collapsed="false">
      <c r="B11" s="26" t="n">
        <v>0.1</v>
      </c>
      <c r="C11" s="14" t="n">
        <f aca="false">AVERAGE(C2:G2)</f>
        <v>14</v>
      </c>
      <c r="D11" s="14" t="n">
        <f aca="false">ROUND(_xlfn.STDEV.S(C2:G2),2)</f>
        <v>1.29</v>
      </c>
      <c r="H11" s="34"/>
    </row>
    <row r="12" customFormat="false" ht="14.25" hidden="false" customHeight="true" outlineLevel="0" collapsed="false">
      <c r="B12" s="26" t="n">
        <v>0.2</v>
      </c>
      <c r="C12" s="14" t="n">
        <f aca="false">AVERAGE(C3:G3)</f>
        <v>15.64</v>
      </c>
      <c r="D12" s="14" t="n">
        <f aca="false">ROUND(_xlfn.STDEV.S(C3:G3),2)</f>
        <v>1.88</v>
      </c>
      <c r="H12" s="40"/>
    </row>
    <row r="13" customFormat="false" ht="14.25" hidden="false" customHeight="true" outlineLevel="0" collapsed="false">
      <c r="B13" s="26" t="n">
        <v>0.3</v>
      </c>
      <c r="C13" s="14" t="n">
        <f aca="false">AVERAGE(C4:G4)</f>
        <v>19.08</v>
      </c>
      <c r="D13" s="14" t="n">
        <f aca="false">ROUND(_xlfn.STDEV.S(C4:G4),2)</f>
        <v>1.33</v>
      </c>
      <c r="H13" s="39"/>
    </row>
    <row r="14" customFormat="false" ht="14.25" hidden="false" customHeight="true" outlineLevel="0" collapsed="false">
      <c r="B14" s="26" t="n">
        <v>0.5</v>
      </c>
      <c r="C14" s="14" t="n">
        <f aca="false">AVERAGE(C5:G5)</f>
        <v>13.76</v>
      </c>
      <c r="D14" s="14" t="n">
        <f aca="false">ROUND(_xlfn.STDEV.S(C5:G5),2)</f>
        <v>3.22</v>
      </c>
      <c r="H14" s="34"/>
    </row>
    <row r="15" customFormat="false" ht="14.25" hidden="false" customHeight="false" outlineLevel="0" collapsed="false">
      <c r="B15" s="14" t="s">
        <v>0</v>
      </c>
      <c r="C15" s="14" t="n">
        <f aca="false">'Control Pea Root'!E8</f>
        <v>12.48</v>
      </c>
      <c r="D15" s="14" t="n">
        <f aca="false">'Control Pea Root'!F8</f>
        <v>2.75</v>
      </c>
      <c r="E15" s="34"/>
      <c r="F15" s="34"/>
      <c r="G15" s="34"/>
      <c r="H15" s="34"/>
      <c r="I15" s="40"/>
      <c r="J15" s="40"/>
    </row>
    <row r="16" customFormat="false" ht="14.25" hidden="false" customHeight="false" outlineLevel="0" collapsed="false">
      <c r="H16" s="34"/>
    </row>
    <row r="17" customFormat="false" ht="14.25" hidden="false" customHeight="false" outlineLevel="0" collapsed="false">
      <c r="H17" s="34"/>
    </row>
    <row r="18" customFormat="false" ht="14.25" hidden="false" customHeight="false" outlineLevel="0" collapsed="false">
      <c r="H18" s="40"/>
    </row>
    <row r="21" customFormat="false" ht="14.25" hidden="false" customHeight="false" outlineLevel="0" collapsed="false">
      <c r="O21" s="0" t="n">
        <f aca="false">19.08/14.9</f>
        <v>1.28053691275168</v>
      </c>
    </row>
  </sheetData>
  <mergeCells count="3">
    <mergeCell ref="A1:A5"/>
    <mergeCell ref="B9:B10"/>
    <mergeCell ref="C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2" min="2" style="0" width="14.5"/>
    <col collapsed="false" customWidth="true" hidden="false" outlineLevel="0" max="39" min="3" style="0" width="9.63"/>
  </cols>
  <sheetData>
    <row r="1" customFormat="false" ht="16.5" hidden="false" customHeight="false" outlineLevel="0" collapsed="false">
      <c r="A1" s="24" t="s">
        <v>25</v>
      </c>
      <c r="B1" s="25" t="s">
        <v>28</v>
      </c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8" t="s">
        <v>21</v>
      </c>
    </row>
    <row r="2" customFormat="false" ht="13.5" hidden="false" customHeight="false" outlineLevel="0" collapsed="false">
      <c r="A2" s="24"/>
      <c r="B2" s="26" t="n">
        <v>0.1</v>
      </c>
      <c r="C2" s="8" t="n">
        <v>16.5</v>
      </c>
      <c r="D2" s="8" t="n">
        <v>14.5</v>
      </c>
      <c r="E2" s="8" t="n">
        <v>14</v>
      </c>
      <c r="F2" s="8" t="n">
        <v>11.5</v>
      </c>
      <c r="G2" s="8" t="n">
        <v>14</v>
      </c>
      <c r="H2" s="14" t="n">
        <f aca="false">AVERAGE(C2:G2)</f>
        <v>14.1</v>
      </c>
    </row>
    <row r="3" customFormat="false" ht="13.5" hidden="false" customHeight="false" outlineLevel="0" collapsed="false">
      <c r="A3" s="24"/>
      <c r="B3" s="26" t="n">
        <v>0.2</v>
      </c>
      <c r="C3" s="8" t="n">
        <v>15</v>
      </c>
      <c r="D3" s="8" t="n">
        <v>15.5</v>
      </c>
      <c r="E3" s="8" t="n">
        <v>15.5</v>
      </c>
      <c r="F3" s="8" t="n">
        <v>13</v>
      </c>
      <c r="G3" s="8" t="n">
        <v>11</v>
      </c>
      <c r="H3" s="14" t="n">
        <f aca="false">AVERAGE(C3:G3)</f>
        <v>14</v>
      </c>
    </row>
    <row r="4" customFormat="false" ht="13.5" hidden="false" customHeight="false" outlineLevel="0" collapsed="false">
      <c r="A4" s="24"/>
      <c r="B4" s="26" t="n">
        <v>0.3</v>
      </c>
      <c r="C4" s="8" t="n">
        <v>19</v>
      </c>
      <c r="D4" s="8" t="n">
        <v>12.7</v>
      </c>
      <c r="E4" s="8" t="n">
        <v>17</v>
      </c>
      <c r="F4" s="8" t="n">
        <v>10.7</v>
      </c>
      <c r="G4" s="8" t="n">
        <v>14</v>
      </c>
      <c r="H4" s="14" t="n">
        <f aca="false">AVERAGE(C4:G4)</f>
        <v>14.68</v>
      </c>
    </row>
    <row r="5" customFormat="false" ht="13.5" hidden="false" customHeight="false" outlineLevel="0" collapsed="false">
      <c r="A5" s="24"/>
      <c r="B5" s="26" t="n">
        <v>0.5</v>
      </c>
      <c r="C5" s="8" t="n">
        <v>7.6</v>
      </c>
      <c r="D5" s="8" t="n">
        <v>9</v>
      </c>
      <c r="E5" s="8" t="n">
        <v>8.8</v>
      </c>
      <c r="F5" s="8" t="n">
        <v>7.1</v>
      </c>
      <c r="G5" s="8" t="n">
        <v>6.3</v>
      </c>
      <c r="H5" s="14" t="n">
        <f aca="false">AVERAGE(C5:G5)</f>
        <v>7.76</v>
      </c>
    </row>
    <row r="7" customFormat="false" ht="13.5" hidden="false" customHeight="false" outlineLevel="0" collapsed="false">
      <c r="H7" s="41"/>
    </row>
    <row r="8" customFormat="false" ht="13.5" hidden="false" customHeight="false" outlineLevel="0" collapsed="false">
      <c r="H8" s="27"/>
    </row>
    <row r="9" customFormat="false" ht="14.25" hidden="false" customHeight="true" outlineLevel="0" collapsed="false">
      <c r="B9" s="25" t="s">
        <v>26</v>
      </c>
      <c r="C9" s="29" t="s">
        <v>25</v>
      </c>
      <c r="D9" s="29"/>
      <c r="H9" s="27"/>
    </row>
    <row r="10" customFormat="false" ht="14.25" hidden="false" customHeight="true" outlineLevel="0" collapsed="false">
      <c r="B10" s="25"/>
      <c r="C10" s="28" t="s">
        <v>21</v>
      </c>
      <c r="D10" s="28" t="s">
        <v>27</v>
      </c>
      <c r="H10" s="27"/>
    </row>
    <row r="11" customFormat="false" ht="14.25" hidden="false" customHeight="true" outlineLevel="0" collapsed="false">
      <c r="B11" s="26" t="n">
        <v>0.1</v>
      </c>
      <c r="C11" s="14" t="n">
        <f aca="false">AVERAGE(C2:G2)</f>
        <v>14.1</v>
      </c>
      <c r="D11" s="14" t="n">
        <f aca="false">ROUND(_xlfn.STDEV.S(C2:G2),2)</f>
        <v>1.78</v>
      </c>
      <c r="H11" s="27"/>
    </row>
    <row r="12" customFormat="false" ht="14.25" hidden="false" customHeight="true" outlineLevel="0" collapsed="false">
      <c r="B12" s="26" t="n">
        <v>0.2</v>
      </c>
      <c r="C12" s="14" t="n">
        <f aca="false">AVERAGE(C3:G3)</f>
        <v>14</v>
      </c>
      <c r="D12" s="14" t="n">
        <f aca="false">ROUND(_xlfn.STDEV.S(C3:G3),2)</f>
        <v>1.97</v>
      </c>
    </row>
    <row r="13" customFormat="false" ht="14.25" hidden="false" customHeight="true" outlineLevel="0" collapsed="false">
      <c r="B13" s="26" t="n">
        <v>0.3</v>
      </c>
      <c r="C13" s="14" t="n">
        <f aca="false">AVERAGE(C4:G4)</f>
        <v>14.68</v>
      </c>
      <c r="D13" s="14" t="n">
        <f aca="false">ROUND(_xlfn.STDEV.S(C4:G4),2)</f>
        <v>3.33</v>
      </c>
      <c r="H13" s="41"/>
    </row>
    <row r="14" customFormat="false" ht="14.25" hidden="false" customHeight="true" outlineLevel="0" collapsed="false">
      <c r="B14" s="26" t="n">
        <v>0.5</v>
      </c>
      <c r="C14" s="14" t="n">
        <f aca="false">AVERAGE(C5:G5)</f>
        <v>7.76</v>
      </c>
      <c r="D14" s="14" t="n">
        <f aca="false">ROUND(_xlfn.STDEV.S(C5:G5),2)</f>
        <v>1.14</v>
      </c>
      <c r="H14" s="27"/>
    </row>
    <row r="15" customFormat="false" ht="13.5" hidden="false" customHeight="false" outlineLevel="0" collapsed="false">
      <c r="B15" s="14" t="s">
        <v>0</v>
      </c>
      <c r="C15" s="14" t="n">
        <f aca="false">'Control Pea Root'!E8</f>
        <v>12.48</v>
      </c>
      <c r="D15" s="14" t="n">
        <f aca="false">'Control Pea Root'!F8</f>
        <v>2.75</v>
      </c>
      <c r="E15" s="27"/>
      <c r="F15" s="27"/>
      <c r="G15" s="27"/>
      <c r="H15" s="27"/>
    </row>
    <row r="16" customFormat="false" ht="13.5" hidden="false" customHeight="false" outlineLevel="0" collapsed="false">
      <c r="H16" s="27"/>
    </row>
    <row r="17" customFormat="false" ht="13.5" hidden="false" customHeight="false" outlineLevel="0" collapsed="false">
      <c r="H17" s="27"/>
    </row>
    <row r="18" customFormat="false" ht="14.25" hidden="false" customHeight="false" outlineLevel="0" collapsed="false"/>
  </sheetData>
  <mergeCells count="3">
    <mergeCell ref="A1:A5"/>
    <mergeCell ref="B9:B10"/>
    <mergeCell ref="C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D16" activeCellId="0" sqref="D16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4.5"/>
    <col collapsed="false" customWidth="true" hidden="false" outlineLevel="0" max="39" min="3" style="0" width="9.63"/>
  </cols>
  <sheetData>
    <row r="1" customFormat="false" ht="14.25" hidden="false" customHeight="false" outlineLevel="0" collapsed="false">
      <c r="A1" s="24" t="s">
        <v>25</v>
      </c>
      <c r="B1" s="25" t="s">
        <v>28</v>
      </c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8" t="s">
        <v>21</v>
      </c>
    </row>
    <row r="2" customFormat="false" ht="14.25" hidden="false" customHeight="false" outlineLevel="0" collapsed="false">
      <c r="A2" s="24"/>
      <c r="B2" s="26" t="n">
        <v>0.1</v>
      </c>
      <c r="C2" s="8" t="n">
        <v>17.5</v>
      </c>
      <c r="D2" s="8" t="n">
        <v>15.5</v>
      </c>
      <c r="E2" s="8" t="n">
        <v>14.5</v>
      </c>
      <c r="F2" s="8" t="n">
        <v>13.9</v>
      </c>
      <c r="G2" s="8" t="n">
        <v>14.8</v>
      </c>
      <c r="H2" s="14" t="n">
        <f aca="false">AVERAGE(C2:G2)</f>
        <v>15.24</v>
      </c>
    </row>
    <row r="3" customFormat="false" ht="14.25" hidden="false" customHeight="false" outlineLevel="0" collapsed="false">
      <c r="A3" s="24"/>
      <c r="B3" s="26" t="n">
        <v>0.2</v>
      </c>
      <c r="C3" s="8" t="n">
        <v>16.5</v>
      </c>
      <c r="D3" s="8" t="n">
        <v>13.6</v>
      </c>
      <c r="E3" s="8" t="n">
        <v>17</v>
      </c>
      <c r="F3" s="8" t="n">
        <v>13</v>
      </c>
      <c r="G3" s="8" t="n">
        <v>15.3</v>
      </c>
      <c r="H3" s="14" t="n">
        <f aca="false">AVERAGE(C3:G3)</f>
        <v>15.08</v>
      </c>
    </row>
    <row r="4" customFormat="false" ht="14.25" hidden="false" customHeight="false" outlineLevel="0" collapsed="false">
      <c r="A4" s="24"/>
      <c r="B4" s="26" t="n">
        <v>0.3</v>
      </c>
      <c r="C4" s="8" t="n">
        <v>13</v>
      </c>
      <c r="D4" s="8" t="n">
        <v>25</v>
      </c>
      <c r="E4" s="8" t="n">
        <v>11.2</v>
      </c>
      <c r="F4" s="8" t="n">
        <v>14.8</v>
      </c>
      <c r="G4" s="8" t="n">
        <v>12.5</v>
      </c>
      <c r="H4" s="14" t="n">
        <f aca="false">AVERAGE(C4:G4)</f>
        <v>15.3</v>
      </c>
    </row>
    <row r="5" customFormat="false" ht="14.25" hidden="false" customHeight="false" outlineLevel="0" collapsed="false">
      <c r="A5" s="24"/>
      <c r="B5" s="26" t="n">
        <v>0.5</v>
      </c>
      <c r="C5" s="8" t="n">
        <v>12.9</v>
      </c>
      <c r="D5" s="8" t="n">
        <v>12.5</v>
      </c>
      <c r="E5" s="8" t="n">
        <v>9.5</v>
      </c>
      <c r="F5" s="8" t="n">
        <v>13.6</v>
      </c>
      <c r="G5" s="8" t="n">
        <v>12</v>
      </c>
      <c r="H5" s="14" t="n">
        <f aca="false">AVERAGE(C5:G5)</f>
        <v>12.1</v>
      </c>
    </row>
    <row r="7" customFormat="false" ht="14.25" hidden="false" customHeight="false" outlineLevel="0" collapsed="false">
      <c r="H7" s="39"/>
    </row>
    <row r="8" customFormat="false" ht="14.25" hidden="false" customHeight="false" outlineLevel="0" collapsed="false">
      <c r="H8" s="34"/>
    </row>
    <row r="9" customFormat="false" ht="14.25" hidden="false" customHeight="true" outlineLevel="0" collapsed="false">
      <c r="B9" s="25" t="s">
        <v>26</v>
      </c>
      <c r="C9" s="29" t="s">
        <v>25</v>
      </c>
      <c r="D9" s="29"/>
      <c r="H9" s="34"/>
    </row>
    <row r="10" customFormat="false" ht="14.25" hidden="false" customHeight="true" outlineLevel="0" collapsed="false">
      <c r="B10" s="25"/>
      <c r="C10" s="28" t="s">
        <v>21</v>
      </c>
      <c r="D10" s="28" t="s">
        <v>27</v>
      </c>
      <c r="H10" s="34"/>
    </row>
    <row r="11" customFormat="false" ht="14.25" hidden="false" customHeight="true" outlineLevel="0" collapsed="false">
      <c r="B11" s="26" t="n">
        <v>0.1</v>
      </c>
      <c r="C11" s="14" t="n">
        <f aca="false">AVERAGE(C2:G2)</f>
        <v>15.24</v>
      </c>
      <c r="D11" s="14" t="n">
        <f aca="false">ROUND(_xlfn.STDEV.S(C2:G2),2)</f>
        <v>1.39</v>
      </c>
      <c r="H11" s="34"/>
    </row>
    <row r="12" customFormat="false" ht="14.25" hidden="false" customHeight="true" outlineLevel="0" collapsed="false">
      <c r="B12" s="26" t="n">
        <v>0.2</v>
      </c>
      <c r="C12" s="14" t="n">
        <f aca="false">AVERAGE(C3:G3)</f>
        <v>15.08</v>
      </c>
      <c r="D12" s="14" t="n">
        <f aca="false">ROUND(_xlfn.STDEV.S(C3:G3),2)</f>
        <v>1.75</v>
      </c>
      <c r="H12" s="40"/>
    </row>
    <row r="13" customFormat="false" ht="14.25" hidden="false" customHeight="true" outlineLevel="0" collapsed="false">
      <c r="B13" s="26" t="n">
        <v>0.3</v>
      </c>
      <c r="C13" s="14" t="n">
        <f aca="false">AVERAGE(C4:G4)</f>
        <v>15.3</v>
      </c>
      <c r="D13" s="14" t="n">
        <f aca="false">ROUND(_xlfn.STDEV.S(C4:G4),2)</f>
        <v>5.57</v>
      </c>
      <c r="H13" s="39"/>
    </row>
    <row r="14" customFormat="false" ht="14.25" hidden="false" customHeight="true" outlineLevel="0" collapsed="false">
      <c r="B14" s="26" t="n">
        <v>0.5</v>
      </c>
      <c r="C14" s="14" t="n">
        <f aca="false">AVERAGE(C5:G5)</f>
        <v>12.1</v>
      </c>
      <c r="D14" s="14" t="n">
        <f aca="false">ROUND(_xlfn.STDEV.S(C5:G5),2)</f>
        <v>1.57</v>
      </c>
      <c r="H14" s="34"/>
    </row>
    <row r="15" customFormat="false" ht="14.25" hidden="false" customHeight="false" outlineLevel="0" collapsed="false">
      <c r="B15" s="14" t="s">
        <v>0</v>
      </c>
      <c r="C15" s="14" t="n">
        <f aca="false">'Control Pea Root'!E8</f>
        <v>12.48</v>
      </c>
      <c r="D15" s="14" t="n">
        <f aca="false">'Control Pea Root'!F8</f>
        <v>2.75</v>
      </c>
      <c r="E15" s="34"/>
      <c r="F15" s="34"/>
      <c r="G15" s="34"/>
      <c r="H15" s="34"/>
      <c r="I15" s="40"/>
      <c r="J15" s="40"/>
    </row>
    <row r="16" customFormat="false" ht="14.25" hidden="false" customHeight="false" outlineLevel="0" collapsed="false">
      <c r="H16" s="34"/>
    </row>
    <row r="17" customFormat="false" ht="14.25" hidden="false" customHeight="false" outlineLevel="0" collapsed="false">
      <c r="H17" s="34"/>
    </row>
    <row r="18" customFormat="false" ht="14.25" hidden="false" customHeight="false" outlineLevel="0" collapsed="false">
      <c r="H18" s="40"/>
    </row>
  </sheetData>
  <mergeCells count="3">
    <mergeCell ref="A1:A5"/>
    <mergeCell ref="B9:B10"/>
    <mergeCell ref="C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N15" activeCellId="0" sqref="N15"/>
    </sheetView>
  </sheetViews>
  <sheetFormatPr defaultColWidth="9" defaultRowHeight="14.25" zeroHeight="false" outlineLevelRow="0" outlineLevelCol="0"/>
  <cols>
    <col collapsed="false" customWidth="true" hidden="false" outlineLevel="0" max="2" min="2" style="0" width="14.5"/>
    <col collapsed="false" customWidth="true" hidden="false" outlineLevel="0" max="39" min="3" style="0" width="9.63"/>
  </cols>
  <sheetData>
    <row r="1" customFormat="false" ht="14.25" hidden="false" customHeight="false" outlineLevel="0" collapsed="false">
      <c r="A1" s="24" t="s">
        <v>25</v>
      </c>
      <c r="B1" s="25" t="s">
        <v>28</v>
      </c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8" t="s">
        <v>21</v>
      </c>
    </row>
    <row r="2" customFormat="false" ht="14.25" hidden="false" customHeight="false" outlineLevel="0" collapsed="false">
      <c r="A2" s="24"/>
      <c r="B2" s="26" t="n">
        <v>0.1</v>
      </c>
      <c r="C2" s="8" t="n">
        <v>13</v>
      </c>
      <c r="D2" s="8" t="n">
        <v>15</v>
      </c>
      <c r="E2" s="8" t="n">
        <v>13.5</v>
      </c>
      <c r="F2" s="8" t="n">
        <v>13.5</v>
      </c>
      <c r="G2" s="8" t="n">
        <v>14.5</v>
      </c>
      <c r="H2" s="14" t="n">
        <f aca="false">AVERAGE(C2:G2)</f>
        <v>13.9</v>
      </c>
    </row>
    <row r="3" customFormat="false" ht="14.25" hidden="false" customHeight="false" outlineLevel="0" collapsed="false">
      <c r="A3" s="24"/>
      <c r="B3" s="26" t="n">
        <v>0.2</v>
      </c>
      <c r="C3" s="8" t="n">
        <v>13.5</v>
      </c>
      <c r="D3" s="8" t="n">
        <v>12</v>
      </c>
      <c r="E3" s="8" t="n">
        <v>12.5</v>
      </c>
      <c r="F3" s="8" t="n">
        <v>14</v>
      </c>
      <c r="G3" s="8" t="n">
        <v>14</v>
      </c>
      <c r="H3" s="14" t="n">
        <f aca="false">AVERAGE(C3:G3)</f>
        <v>13.2</v>
      </c>
    </row>
    <row r="4" customFormat="false" ht="14.25" hidden="false" customHeight="false" outlineLevel="0" collapsed="false">
      <c r="A4" s="24"/>
      <c r="B4" s="26" t="n">
        <v>0.3</v>
      </c>
      <c r="C4" s="8" t="n">
        <v>20.6</v>
      </c>
      <c r="D4" s="8" t="n">
        <v>12</v>
      </c>
      <c r="E4" s="8" t="n">
        <v>16.6</v>
      </c>
      <c r="F4" s="8" t="n">
        <v>11.1</v>
      </c>
      <c r="G4" s="8" t="n">
        <v>13.3</v>
      </c>
      <c r="H4" s="14" t="n">
        <f aca="false">AVERAGE(C4:G4)</f>
        <v>14.72</v>
      </c>
    </row>
    <row r="5" customFormat="false" ht="14.25" hidden="false" customHeight="false" outlineLevel="0" collapsed="false">
      <c r="A5" s="24"/>
      <c r="B5" s="26" t="n">
        <v>0.5</v>
      </c>
      <c r="C5" s="8" t="n">
        <v>17</v>
      </c>
      <c r="D5" s="8" t="n">
        <v>14.3</v>
      </c>
      <c r="E5" s="8" t="n">
        <v>7.5</v>
      </c>
      <c r="F5" s="8" t="n">
        <v>13.3</v>
      </c>
      <c r="G5" s="8" t="n">
        <v>6.3</v>
      </c>
      <c r="H5" s="14" t="n">
        <f aca="false">AVERAGE(C5:G5)</f>
        <v>11.68</v>
      </c>
    </row>
    <row r="7" customFormat="false" ht="14.25" hidden="false" customHeight="false" outlineLevel="0" collapsed="false">
      <c r="H7" s="39"/>
    </row>
    <row r="8" customFormat="false" ht="14.25" hidden="false" customHeight="false" outlineLevel="0" collapsed="false">
      <c r="H8" s="34"/>
    </row>
    <row r="9" customFormat="false" ht="14.25" hidden="false" customHeight="true" outlineLevel="0" collapsed="false">
      <c r="B9" s="25" t="s">
        <v>26</v>
      </c>
      <c r="C9" s="29" t="s">
        <v>25</v>
      </c>
      <c r="D9" s="29"/>
      <c r="H9" s="34"/>
    </row>
    <row r="10" customFormat="false" ht="14.25" hidden="false" customHeight="true" outlineLevel="0" collapsed="false">
      <c r="B10" s="25"/>
      <c r="C10" s="28" t="s">
        <v>21</v>
      </c>
      <c r="D10" s="28" t="s">
        <v>27</v>
      </c>
      <c r="H10" s="34"/>
    </row>
    <row r="11" customFormat="false" ht="14.25" hidden="false" customHeight="true" outlineLevel="0" collapsed="false">
      <c r="B11" s="26" t="n">
        <v>0.1</v>
      </c>
      <c r="C11" s="14" t="n">
        <f aca="false">AVERAGE(C2:G2)</f>
        <v>13.9</v>
      </c>
      <c r="D11" s="14" t="n">
        <f aca="false">ROUND(_xlfn.STDEV.S(C2:G2),2)</f>
        <v>0.82</v>
      </c>
      <c r="H11" s="34"/>
    </row>
    <row r="12" customFormat="false" ht="14.25" hidden="false" customHeight="true" outlineLevel="0" collapsed="false">
      <c r="B12" s="26" t="n">
        <v>0.2</v>
      </c>
      <c r="C12" s="14" t="n">
        <f aca="false">AVERAGE(C3:G3)</f>
        <v>13.2</v>
      </c>
      <c r="D12" s="14" t="n">
        <f aca="false">ROUND(_xlfn.STDEV.S(C3:G3),2)</f>
        <v>0.91</v>
      </c>
      <c r="H12" s="40"/>
    </row>
    <row r="13" customFormat="false" ht="14.25" hidden="false" customHeight="true" outlineLevel="0" collapsed="false">
      <c r="B13" s="26" t="n">
        <v>0.3</v>
      </c>
      <c r="C13" s="14" t="n">
        <f aca="false">AVERAGE(C4:G4)</f>
        <v>14.72</v>
      </c>
      <c r="D13" s="14" t="n">
        <f aca="false">ROUND(_xlfn.STDEV.S(C4:G4),2)</f>
        <v>3.89</v>
      </c>
      <c r="H13" s="39"/>
    </row>
    <row r="14" customFormat="false" ht="14.25" hidden="false" customHeight="true" outlineLevel="0" collapsed="false">
      <c r="B14" s="26" t="n">
        <v>0.5</v>
      </c>
      <c r="C14" s="14" t="n">
        <f aca="false">AVERAGE(C5:G5)</f>
        <v>11.68</v>
      </c>
      <c r="D14" s="14" t="n">
        <f aca="false">ROUND(_xlfn.STDEV.S(C5:G5),2)</f>
        <v>4.59</v>
      </c>
      <c r="H14" s="34"/>
    </row>
    <row r="15" customFormat="false" ht="13.5" hidden="false" customHeight="false" outlineLevel="0" collapsed="false">
      <c r="B15" s="14" t="s">
        <v>0</v>
      </c>
      <c r="C15" s="14" t="n">
        <f aca="false">'Control Pea Root'!E8</f>
        <v>12.48</v>
      </c>
      <c r="D15" s="14" t="n">
        <f aca="false">'Control Pea Root'!F8</f>
        <v>2.75</v>
      </c>
      <c r="E15" s="34"/>
      <c r="F15" s="34"/>
      <c r="G15" s="34"/>
      <c r="H15" s="34"/>
      <c r="I15" s="40"/>
      <c r="J15" s="40"/>
    </row>
    <row r="16" customFormat="false" ht="14.25" hidden="false" customHeight="false" outlineLevel="0" collapsed="false">
      <c r="H16" s="34"/>
    </row>
    <row r="17" customFormat="false" ht="14.25" hidden="false" customHeight="false" outlineLevel="0" collapsed="false">
      <c r="H17" s="34"/>
    </row>
    <row r="18" customFormat="false" ht="14.25" hidden="false" customHeight="false" outlineLevel="0" collapsed="false">
      <c r="H18" s="40"/>
    </row>
  </sheetData>
  <mergeCells count="3">
    <mergeCell ref="A1:A5"/>
    <mergeCell ref="B9:B10"/>
    <mergeCell ref="C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6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I25" activeCellId="0" sqref="I25"/>
    </sheetView>
  </sheetViews>
  <sheetFormatPr defaultColWidth="9" defaultRowHeight="13.5" zeroHeight="false" outlineLevelRow="0" outlineLevelCol="0"/>
  <cols>
    <col collapsed="false" customWidth="true" hidden="false" outlineLevel="0" max="2" min="2" style="0" width="13.13"/>
    <col collapsed="false" customWidth="true" hidden="false" outlineLevel="0" max="3" min="3" style="0" width="9.63"/>
    <col collapsed="false" customWidth="true" hidden="false" outlineLevel="0" max="4" min="4" style="0" width="14.74"/>
    <col collapsed="false" customWidth="true" hidden="false" outlineLevel="0" max="29" min="5" style="0" width="9.63"/>
  </cols>
  <sheetData>
    <row r="1" customFormat="false" ht="15" hidden="false" customHeight="true" outlineLevel="0" collapsed="false">
      <c r="A1" s="30"/>
      <c r="B1" s="25" t="s">
        <v>44</v>
      </c>
      <c r="C1" s="25" t="s">
        <v>1</v>
      </c>
      <c r="D1" s="25" t="s">
        <v>2</v>
      </c>
      <c r="E1" s="38" t="s">
        <v>3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8</v>
      </c>
      <c r="K1" s="25" t="s">
        <v>9</v>
      </c>
      <c r="L1" s="25" t="s">
        <v>10</v>
      </c>
      <c r="M1" s="29" t="s">
        <v>21</v>
      </c>
    </row>
    <row r="2" s="18" customFormat="true" ht="15" hidden="false" customHeight="true" outlineLevel="0" collapsed="false">
      <c r="A2" s="30" t="s">
        <v>25</v>
      </c>
      <c r="B2" s="26" t="s">
        <v>23</v>
      </c>
      <c r="C2" s="14" t="n">
        <v>30</v>
      </c>
      <c r="D2" s="14" t="n">
        <v>32</v>
      </c>
      <c r="E2" s="15" t="n">
        <v>32</v>
      </c>
      <c r="F2" s="16" t="n">
        <v>31.8</v>
      </c>
      <c r="G2" s="16" t="n">
        <v>31</v>
      </c>
      <c r="H2" s="16" t="n">
        <v>26</v>
      </c>
      <c r="I2" s="16" t="n">
        <v>34.5</v>
      </c>
      <c r="J2" s="16" t="n">
        <v>24.5</v>
      </c>
      <c r="K2" s="16" t="n">
        <v>35</v>
      </c>
      <c r="L2" s="16" t="n">
        <v>15</v>
      </c>
      <c r="M2" s="14" t="n">
        <f aca="false">AVERAGE(C2:L2)</f>
        <v>29.18</v>
      </c>
    </row>
    <row r="3" customFormat="false" ht="15" hidden="false" customHeight="true" outlineLevel="0" collapsed="false"/>
    <row r="4" customFormat="false" ht="15" hidden="false" customHeight="true" outlineLevel="0" collapsed="false"/>
    <row r="6" customFormat="false" ht="14.25" hidden="false" customHeight="true" outlineLevel="0" collapsed="false">
      <c r="D6" s="25" t="s">
        <v>26</v>
      </c>
      <c r="E6" s="29" t="s">
        <v>25</v>
      </c>
      <c r="F6" s="29"/>
    </row>
    <row r="7" customFormat="false" ht="28.5" hidden="false" customHeight="true" outlineLevel="0" collapsed="false">
      <c r="D7" s="25"/>
      <c r="E7" s="28" t="s">
        <v>21</v>
      </c>
      <c r="F7" s="28" t="s">
        <v>27</v>
      </c>
    </row>
    <row r="8" customFormat="false" ht="27" hidden="false" customHeight="true" outlineLevel="0" collapsed="false">
      <c r="D8" s="26" t="s">
        <v>0</v>
      </c>
      <c r="E8" s="14" t="n">
        <f aca="false">AVERAGE(C2:L2)</f>
        <v>29.18</v>
      </c>
      <c r="F8" s="14" t="n">
        <f aca="false">ROUND(_xlfn.STDEV.S(C2:L2),2)</f>
        <v>5.98</v>
      </c>
    </row>
    <row r="13" customFormat="false" ht="14.25" hidden="false" customHeight="false" outlineLevel="0" collapsed="false">
      <c r="A13" s="18"/>
      <c r="B13" s="35"/>
      <c r="C13" s="35"/>
      <c r="D13" s="35"/>
      <c r="E13" s="35"/>
      <c r="F13" s="35"/>
      <c r="G13" s="35"/>
      <c r="H13" s="35"/>
      <c r="I13" s="35"/>
    </row>
    <row r="14" customFormat="false" ht="14.25" hidden="false" customHeight="false" outlineLevel="0" collapsed="false">
      <c r="A14" s="18"/>
      <c r="B14" s="36"/>
      <c r="C14" s="37"/>
      <c r="D14" s="37"/>
      <c r="E14" s="37"/>
      <c r="F14" s="37"/>
      <c r="G14" s="37"/>
      <c r="H14" s="37"/>
      <c r="I14" s="37"/>
    </row>
    <row r="15" customFormat="false" ht="14.25" hidden="false" customHeight="false" outlineLevel="0" collapsed="false">
      <c r="A15" s="18"/>
      <c r="B15" s="36"/>
      <c r="C15" s="37"/>
      <c r="D15" s="37"/>
      <c r="E15" s="37"/>
      <c r="F15" s="37"/>
      <c r="G15" s="37"/>
      <c r="H15" s="37"/>
      <c r="I15" s="37"/>
    </row>
    <row r="16" customFormat="false" ht="14.25" hidden="false" customHeight="false" outlineLevel="0" collapsed="false">
      <c r="A16" s="18"/>
      <c r="B16" s="18"/>
      <c r="C16" s="27"/>
      <c r="D16" s="27"/>
      <c r="E16" s="27"/>
      <c r="F16" s="27"/>
      <c r="G16" s="27"/>
      <c r="H16" s="27"/>
      <c r="I16" s="27"/>
    </row>
  </sheetData>
  <mergeCells count="2">
    <mergeCell ref="D6:D7"/>
    <mergeCell ref="E6:F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N4" activeCellId="0" sqref="N4"/>
    </sheetView>
  </sheetViews>
  <sheetFormatPr defaultColWidth="9" defaultRowHeight="13.5" zeroHeight="false" outlineLevelRow="0" outlineLevelCol="0"/>
  <cols>
    <col collapsed="false" customWidth="true" hidden="false" outlineLevel="0" max="2" min="2" style="0" width="14.5"/>
    <col collapsed="false" customWidth="true" hidden="false" outlineLevel="0" max="39" min="3" style="0" width="9.63"/>
  </cols>
  <sheetData>
    <row r="1" customFormat="false" ht="14.25" hidden="false" customHeight="false" outlineLevel="0" collapsed="false">
      <c r="A1" s="24" t="s">
        <v>25</v>
      </c>
      <c r="B1" s="25" t="s">
        <v>28</v>
      </c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8" t="s">
        <v>21</v>
      </c>
    </row>
    <row r="2" customFormat="false" ht="13.5" hidden="false" customHeight="false" outlineLevel="0" collapsed="false">
      <c r="A2" s="24"/>
      <c r="B2" s="26" t="n">
        <v>0.1</v>
      </c>
      <c r="C2" s="8" t="n">
        <v>33</v>
      </c>
      <c r="D2" s="8" t="n">
        <v>35.5</v>
      </c>
      <c r="E2" s="8" t="n">
        <v>35</v>
      </c>
      <c r="F2" s="8" t="n">
        <v>34.5</v>
      </c>
      <c r="G2" s="8" t="n">
        <v>33</v>
      </c>
      <c r="H2" s="14" t="n">
        <f aca="false">AVERAGE(C2:G2)</f>
        <v>34.2</v>
      </c>
    </row>
    <row r="3" customFormat="false" ht="13.5" hidden="false" customHeight="false" outlineLevel="0" collapsed="false">
      <c r="A3" s="24"/>
      <c r="B3" s="26" t="n">
        <v>0.2</v>
      </c>
      <c r="C3" s="8" t="n">
        <v>33.5</v>
      </c>
      <c r="D3" s="8" t="n">
        <v>33</v>
      </c>
      <c r="E3" s="8" t="n">
        <v>33.5</v>
      </c>
      <c r="F3" s="8" t="n">
        <v>34.5</v>
      </c>
      <c r="G3" s="8" t="n">
        <v>35</v>
      </c>
      <c r="H3" s="14" t="n">
        <f aca="false">AVERAGE(C3:G3)</f>
        <v>33.9</v>
      </c>
    </row>
    <row r="4" customFormat="false" ht="13.5" hidden="false" customHeight="false" outlineLevel="0" collapsed="false">
      <c r="A4" s="24"/>
      <c r="B4" s="26" t="n">
        <v>0.3</v>
      </c>
      <c r="C4" s="8" t="n">
        <v>34</v>
      </c>
      <c r="D4" s="8" t="n">
        <v>21</v>
      </c>
      <c r="E4" s="8" t="n">
        <v>27.5</v>
      </c>
      <c r="F4" s="8" t="n">
        <v>18</v>
      </c>
      <c r="G4" s="8" t="n">
        <v>22</v>
      </c>
      <c r="H4" s="14" t="n">
        <f aca="false">AVERAGE(C4:G4)</f>
        <v>24.5</v>
      </c>
    </row>
    <row r="5" customFormat="false" ht="13.5" hidden="false" customHeight="false" outlineLevel="0" collapsed="false">
      <c r="A5" s="24"/>
      <c r="B5" s="26" t="n">
        <v>0.5</v>
      </c>
      <c r="C5" s="8" t="n">
        <v>31</v>
      </c>
      <c r="D5" s="8" t="n">
        <v>26.5</v>
      </c>
      <c r="E5" s="8" t="n">
        <v>13.5</v>
      </c>
      <c r="F5" s="8" t="n">
        <v>20</v>
      </c>
      <c r="G5" s="8" t="n">
        <v>20</v>
      </c>
      <c r="H5" s="14" t="n">
        <v>22.2</v>
      </c>
    </row>
    <row r="7" customFormat="false" ht="14.25" hidden="false" customHeight="false" outlineLevel="0" collapsed="false">
      <c r="H7" s="39"/>
    </row>
    <row r="8" customFormat="false" ht="14.25" hidden="false" customHeight="false" outlineLevel="0" collapsed="false">
      <c r="H8" s="34"/>
    </row>
    <row r="9" customFormat="false" ht="14.25" hidden="false" customHeight="true" outlineLevel="0" collapsed="false">
      <c r="B9" s="25" t="s">
        <v>26</v>
      </c>
      <c r="C9" s="29" t="s">
        <v>25</v>
      </c>
      <c r="D9" s="29"/>
      <c r="H9" s="34"/>
    </row>
    <row r="10" customFormat="false" ht="14.25" hidden="false" customHeight="true" outlineLevel="0" collapsed="false">
      <c r="B10" s="25"/>
      <c r="C10" s="28" t="s">
        <v>21</v>
      </c>
      <c r="D10" s="28" t="s">
        <v>27</v>
      </c>
      <c r="H10" s="34"/>
    </row>
    <row r="11" customFormat="false" ht="14.25" hidden="false" customHeight="true" outlineLevel="0" collapsed="false">
      <c r="B11" s="26" t="n">
        <v>0.1</v>
      </c>
      <c r="C11" s="14" t="n">
        <f aca="false">AVERAGE(C2:G2)</f>
        <v>34.2</v>
      </c>
      <c r="D11" s="14" t="n">
        <f aca="false">ROUND(_xlfn.STDEV.S(C2:G2),2)</f>
        <v>1.15</v>
      </c>
      <c r="H11" s="34"/>
    </row>
    <row r="12" customFormat="false" ht="14.25" hidden="false" customHeight="true" outlineLevel="0" collapsed="false">
      <c r="B12" s="26" t="n">
        <v>0.2</v>
      </c>
      <c r="C12" s="14" t="n">
        <f aca="false">AVERAGE(C3:G3)</f>
        <v>33.9</v>
      </c>
      <c r="D12" s="14" t="n">
        <f aca="false">ROUND(_xlfn.STDEV.S(C3:G3),2)</f>
        <v>0.82</v>
      </c>
      <c r="H12" s="40"/>
    </row>
    <row r="13" customFormat="false" ht="14.25" hidden="false" customHeight="true" outlineLevel="0" collapsed="false">
      <c r="B13" s="26" t="n">
        <v>0.3</v>
      </c>
      <c r="C13" s="14" t="n">
        <f aca="false">AVERAGE(C4:G4)</f>
        <v>24.5</v>
      </c>
      <c r="D13" s="14" t="n">
        <f aca="false">ROUND(_xlfn.STDEV.S(C4:G4),2)</f>
        <v>6.32</v>
      </c>
      <c r="H13" s="39"/>
    </row>
    <row r="14" customFormat="false" ht="14.25" hidden="false" customHeight="true" outlineLevel="0" collapsed="false">
      <c r="B14" s="26" t="n">
        <v>0.5</v>
      </c>
      <c r="C14" s="14" t="n">
        <f aca="false">AVERAGE(C5:G5)</f>
        <v>22.2</v>
      </c>
      <c r="D14" s="14" t="n">
        <f aca="false">ROUND(_xlfn.STDEV.S(C5:G5),2)</f>
        <v>6.73</v>
      </c>
      <c r="H14" s="34"/>
    </row>
    <row r="15" customFormat="false" ht="13.5" hidden="false" customHeight="false" outlineLevel="0" collapsed="false">
      <c r="B15" s="14" t="s">
        <v>0</v>
      </c>
      <c r="C15" s="14" t="n">
        <f aca="false">'Control Pea Total Length'!E8</f>
        <v>29.18</v>
      </c>
      <c r="D15" s="14" t="n">
        <f aca="false">'Control Pea Total Length'!F8</f>
        <v>5.98</v>
      </c>
      <c r="E15" s="34"/>
      <c r="F15" s="34"/>
      <c r="G15" s="34"/>
      <c r="H15" s="34"/>
      <c r="I15" s="40"/>
      <c r="J15" s="40"/>
    </row>
    <row r="16" customFormat="false" ht="14.25" hidden="false" customHeight="false" outlineLevel="0" collapsed="false">
      <c r="H16" s="34"/>
    </row>
    <row r="17" customFormat="false" ht="14.25" hidden="false" customHeight="false" outlineLevel="0" collapsed="false">
      <c r="H17" s="34"/>
    </row>
    <row r="18" customFormat="false" ht="14.25" hidden="false" customHeight="false" outlineLevel="0" collapsed="false">
      <c r="H18" s="40"/>
    </row>
  </sheetData>
  <mergeCells count="3">
    <mergeCell ref="A1:A5"/>
    <mergeCell ref="B9:B10"/>
    <mergeCell ref="C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J27" activeCellId="0" sqref="J27"/>
    </sheetView>
  </sheetViews>
  <sheetFormatPr defaultColWidth="9" defaultRowHeight="13.5" zeroHeight="false" outlineLevelRow="0" outlineLevelCol="0"/>
  <cols>
    <col collapsed="false" customWidth="true" hidden="false" outlineLevel="0" max="2" min="2" style="0" width="14.5"/>
    <col collapsed="false" customWidth="true" hidden="false" outlineLevel="0" max="39" min="3" style="0" width="9.63"/>
  </cols>
  <sheetData>
    <row r="1" customFormat="false" ht="14.25" hidden="false" customHeight="false" outlineLevel="0" collapsed="false">
      <c r="A1" s="24" t="s">
        <v>25</v>
      </c>
      <c r="B1" s="25" t="s">
        <v>28</v>
      </c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8" t="s">
        <v>21</v>
      </c>
    </row>
    <row r="2" customFormat="false" ht="13.5" hidden="false" customHeight="false" outlineLevel="0" collapsed="false">
      <c r="A2" s="24"/>
      <c r="B2" s="26" t="n">
        <v>0.1</v>
      </c>
      <c r="C2" s="8" t="n">
        <v>39.5</v>
      </c>
      <c r="D2" s="8" t="n">
        <v>38.5</v>
      </c>
      <c r="E2" s="8" t="n">
        <v>37.5</v>
      </c>
      <c r="F2" s="8" t="n">
        <v>37</v>
      </c>
      <c r="G2" s="8" t="n">
        <v>37.5</v>
      </c>
      <c r="H2" s="14" t="n">
        <f aca="false">AVERAGE(C2:G2)</f>
        <v>38</v>
      </c>
    </row>
    <row r="3" customFormat="false" ht="13.5" hidden="false" customHeight="false" outlineLevel="0" collapsed="false">
      <c r="A3" s="24"/>
      <c r="B3" s="26" t="n">
        <v>0.2</v>
      </c>
      <c r="C3" s="8" t="n">
        <v>38.5</v>
      </c>
      <c r="D3" s="8" t="n">
        <v>33.5</v>
      </c>
      <c r="E3" s="8" t="n">
        <v>39.5</v>
      </c>
      <c r="F3" s="8" t="n">
        <v>30</v>
      </c>
      <c r="G3" s="8" t="n">
        <v>34.5</v>
      </c>
      <c r="H3" s="14" t="n">
        <f aca="false">AVERAGE(C3:G3)</f>
        <v>35.2</v>
      </c>
    </row>
    <row r="4" customFormat="false" ht="13.5" hidden="false" customHeight="false" outlineLevel="0" collapsed="false">
      <c r="A4" s="24"/>
      <c r="B4" s="26" t="n">
        <v>0.3</v>
      </c>
      <c r="C4" s="8" t="n">
        <v>29</v>
      </c>
      <c r="D4" s="8" t="n">
        <v>40.1</v>
      </c>
      <c r="E4" s="8" t="n">
        <v>22.5</v>
      </c>
      <c r="F4" s="8" t="n">
        <v>28.5</v>
      </c>
      <c r="G4" s="8" t="n">
        <v>30</v>
      </c>
      <c r="H4" s="14" t="n">
        <f aca="false">AVERAGE(C4:G4)</f>
        <v>30.02</v>
      </c>
    </row>
    <row r="5" customFormat="false" ht="13.5" hidden="false" customHeight="false" outlineLevel="0" collapsed="false">
      <c r="A5" s="24"/>
      <c r="B5" s="26" t="n">
        <v>0.5</v>
      </c>
      <c r="C5" s="8" t="n">
        <v>24.5</v>
      </c>
      <c r="D5" s="8" t="n">
        <v>16.5</v>
      </c>
      <c r="E5" s="8" t="n">
        <v>18.2</v>
      </c>
      <c r="F5" s="8" t="n">
        <v>21.3</v>
      </c>
      <c r="G5" s="8" t="n">
        <v>17</v>
      </c>
      <c r="H5" s="14" t="n">
        <f aca="false">AVERAGE(C5:G5)</f>
        <v>19.5</v>
      </c>
    </row>
    <row r="7" customFormat="false" ht="14.25" hidden="false" customHeight="false" outlineLevel="0" collapsed="false">
      <c r="H7" s="39"/>
    </row>
    <row r="8" customFormat="false" ht="14.25" hidden="false" customHeight="false" outlineLevel="0" collapsed="false">
      <c r="H8" s="34"/>
    </row>
    <row r="9" customFormat="false" ht="14.25" hidden="false" customHeight="true" outlineLevel="0" collapsed="false">
      <c r="B9" s="25" t="s">
        <v>26</v>
      </c>
      <c r="C9" s="29" t="s">
        <v>25</v>
      </c>
      <c r="D9" s="29"/>
      <c r="H9" s="34"/>
    </row>
    <row r="10" customFormat="false" ht="14.25" hidden="false" customHeight="true" outlineLevel="0" collapsed="false">
      <c r="B10" s="25"/>
      <c r="C10" s="28" t="s">
        <v>21</v>
      </c>
      <c r="D10" s="28" t="s">
        <v>27</v>
      </c>
      <c r="H10" s="34"/>
    </row>
    <row r="11" customFormat="false" ht="14.25" hidden="false" customHeight="true" outlineLevel="0" collapsed="false">
      <c r="B11" s="26" t="n">
        <v>0.1</v>
      </c>
      <c r="C11" s="14" t="n">
        <f aca="false">AVERAGE(C2:G2)</f>
        <v>38</v>
      </c>
      <c r="D11" s="14" t="n">
        <f aca="false">ROUND(_xlfn.STDEV.S(C2:G2),2)</f>
        <v>1</v>
      </c>
      <c r="H11" s="34"/>
    </row>
    <row r="12" customFormat="false" ht="14.25" hidden="false" customHeight="true" outlineLevel="0" collapsed="false">
      <c r="B12" s="26" t="n">
        <v>0.2</v>
      </c>
      <c r="C12" s="14" t="n">
        <f aca="false">AVERAGE(C3:G3)</f>
        <v>35.2</v>
      </c>
      <c r="D12" s="14" t="n">
        <f aca="false">ROUND(_xlfn.STDEV.S(C3:G3),2)</f>
        <v>3.87</v>
      </c>
      <c r="H12" s="40"/>
    </row>
    <row r="13" customFormat="false" ht="14.25" hidden="false" customHeight="true" outlineLevel="0" collapsed="false">
      <c r="B13" s="26" t="n">
        <v>0.3</v>
      </c>
      <c r="C13" s="14" t="n">
        <f aca="false">AVERAGE(C4:G4)</f>
        <v>30.02</v>
      </c>
      <c r="D13" s="14" t="n">
        <f aca="false">ROUND(_xlfn.STDEV.S(C4:G4),2)</f>
        <v>6.35</v>
      </c>
      <c r="H13" s="39"/>
    </row>
    <row r="14" customFormat="false" ht="14.25" hidden="false" customHeight="true" outlineLevel="0" collapsed="false">
      <c r="B14" s="26" t="n">
        <v>0.5</v>
      </c>
      <c r="C14" s="14" t="n">
        <f aca="false">AVERAGE(C5:G5)</f>
        <v>19.5</v>
      </c>
      <c r="D14" s="14" t="n">
        <f aca="false">ROUND(_xlfn.STDEV.S(C5:G5),2)</f>
        <v>3.36</v>
      </c>
      <c r="H14" s="34"/>
    </row>
    <row r="15" customFormat="false" ht="14.25" hidden="false" customHeight="false" outlineLevel="0" collapsed="false">
      <c r="B15" s="14" t="s">
        <v>0</v>
      </c>
      <c r="C15" s="14" t="n">
        <f aca="false">'Control Pea Total Length'!E8</f>
        <v>29.18</v>
      </c>
      <c r="D15" s="14" t="n">
        <f aca="false">'Control Pea Total Length'!F8</f>
        <v>5.98</v>
      </c>
      <c r="E15" s="34"/>
      <c r="F15" s="34"/>
      <c r="G15" s="34"/>
      <c r="H15" s="34"/>
      <c r="I15" s="40"/>
      <c r="J15" s="40"/>
    </row>
    <row r="16" customFormat="false" ht="14.25" hidden="false" customHeight="false" outlineLevel="0" collapsed="false">
      <c r="H16" s="34"/>
    </row>
    <row r="17" customFormat="false" ht="14.25" hidden="false" customHeight="false" outlineLevel="0" collapsed="false">
      <c r="H17" s="34"/>
    </row>
    <row r="18" customFormat="false" ht="14.25" hidden="false" customHeight="false" outlineLevel="0" collapsed="false">
      <c r="H18" s="40"/>
    </row>
  </sheetData>
  <mergeCells count="3">
    <mergeCell ref="A1:A5"/>
    <mergeCell ref="B9:B10"/>
    <mergeCell ref="C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K21" activeCellId="0" sqref="K21"/>
    </sheetView>
  </sheetViews>
  <sheetFormatPr defaultColWidth="9" defaultRowHeight="13.5" zeroHeight="false" outlineLevelRow="0" outlineLevelCol="0"/>
  <cols>
    <col collapsed="false" customWidth="true" hidden="false" outlineLevel="0" max="2" min="2" style="0" width="14.5"/>
    <col collapsed="false" customWidth="true" hidden="false" outlineLevel="0" max="39" min="3" style="0" width="9.63"/>
  </cols>
  <sheetData>
    <row r="1" customFormat="false" ht="14.25" hidden="false" customHeight="false" outlineLevel="0" collapsed="false">
      <c r="A1" s="24" t="s">
        <v>25</v>
      </c>
      <c r="B1" s="25" t="s">
        <v>28</v>
      </c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8" t="s">
        <v>21</v>
      </c>
    </row>
    <row r="2" customFormat="false" ht="13.5" hidden="false" customHeight="false" outlineLevel="0" collapsed="false">
      <c r="A2" s="24"/>
      <c r="B2" s="26" t="n">
        <v>0.1</v>
      </c>
      <c r="C2" s="8" t="n">
        <v>34.8</v>
      </c>
      <c r="D2" s="8" t="n">
        <v>37</v>
      </c>
      <c r="E2" s="8" t="n">
        <v>36.7</v>
      </c>
      <c r="F2" s="8" t="n">
        <v>32.6</v>
      </c>
      <c r="G2" s="8" t="n">
        <v>37.9</v>
      </c>
      <c r="H2" s="14" t="n">
        <f aca="false">AVERAGE(C2:G2)</f>
        <v>35.8</v>
      </c>
    </row>
    <row r="3" customFormat="false" ht="13.5" hidden="false" customHeight="false" outlineLevel="0" collapsed="false">
      <c r="A3" s="24"/>
      <c r="B3" s="26" t="n">
        <v>0.2</v>
      </c>
      <c r="C3" s="8" t="n">
        <v>38.4</v>
      </c>
      <c r="D3" s="8" t="n">
        <v>40.5</v>
      </c>
      <c r="E3" s="8" t="n">
        <v>39.5</v>
      </c>
      <c r="F3" s="8" t="n">
        <v>31</v>
      </c>
      <c r="G3" s="8" t="n">
        <v>33.5</v>
      </c>
      <c r="H3" s="14" t="n">
        <f aca="false">AVERAGE(C3:G3)</f>
        <v>36.58</v>
      </c>
    </row>
    <row r="4" customFormat="false" ht="13.5" hidden="false" customHeight="false" outlineLevel="0" collapsed="false">
      <c r="A4" s="24"/>
      <c r="B4" s="26" t="n">
        <v>0.3</v>
      </c>
      <c r="C4" s="8" t="n">
        <v>36</v>
      </c>
      <c r="D4" s="8" t="n">
        <v>35</v>
      </c>
      <c r="E4" s="8" t="n">
        <v>33</v>
      </c>
      <c r="F4" s="8" t="n">
        <v>37.5</v>
      </c>
      <c r="G4" s="8" t="n">
        <v>30.5</v>
      </c>
      <c r="H4" s="14" t="n">
        <f aca="false">AVERAGE(C4:G4)</f>
        <v>34.4</v>
      </c>
    </row>
    <row r="5" customFormat="false" ht="13.5" hidden="false" customHeight="false" outlineLevel="0" collapsed="false">
      <c r="A5" s="24"/>
      <c r="B5" s="26" t="n">
        <v>0.5</v>
      </c>
      <c r="C5" s="8" t="n">
        <v>27</v>
      </c>
      <c r="D5" s="8" t="n">
        <v>29</v>
      </c>
      <c r="E5" s="8" t="n">
        <v>22.4</v>
      </c>
      <c r="F5" s="8" t="n">
        <v>32</v>
      </c>
      <c r="G5" s="8" t="n">
        <v>24</v>
      </c>
      <c r="H5" s="14" t="n">
        <f aca="false">AVERAGE(C5:G5)</f>
        <v>26.88</v>
      </c>
    </row>
    <row r="7" customFormat="false" ht="14.25" hidden="false" customHeight="false" outlineLevel="0" collapsed="false">
      <c r="H7" s="39"/>
    </row>
    <row r="8" customFormat="false" ht="14.25" hidden="false" customHeight="false" outlineLevel="0" collapsed="false">
      <c r="H8" s="34"/>
    </row>
    <row r="9" customFormat="false" ht="14.25" hidden="false" customHeight="true" outlineLevel="0" collapsed="false">
      <c r="B9" s="25" t="s">
        <v>26</v>
      </c>
      <c r="C9" s="29" t="s">
        <v>25</v>
      </c>
      <c r="D9" s="29"/>
      <c r="H9" s="34"/>
    </row>
    <row r="10" customFormat="false" ht="14.25" hidden="false" customHeight="true" outlineLevel="0" collapsed="false">
      <c r="B10" s="25"/>
      <c r="C10" s="28" t="s">
        <v>21</v>
      </c>
      <c r="D10" s="28" t="s">
        <v>27</v>
      </c>
      <c r="H10" s="34"/>
    </row>
    <row r="11" customFormat="false" ht="14.25" hidden="false" customHeight="true" outlineLevel="0" collapsed="false">
      <c r="B11" s="26" t="n">
        <v>0.1</v>
      </c>
      <c r="C11" s="14" t="n">
        <f aca="false">AVERAGE(C2:G2)</f>
        <v>35.8</v>
      </c>
      <c r="D11" s="14" t="n">
        <f aca="false">ROUND(_xlfn.STDEV.S(C2:G2),2)</f>
        <v>2.12</v>
      </c>
      <c r="H11" s="34"/>
    </row>
    <row r="12" customFormat="false" ht="14.25" hidden="false" customHeight="true" outlineLevel="0" collapsed="false">
      <c r="B12" s="26" t="n">
        <v>0.2</v>
      </c>
      <c r="C12" s="14" t="n">
        <f aca="false">AVERAGE(C3:G3)</f>
        <v>36.58</v>
      </c>
      <c r="D12" s="14" t="n">
        <f aca="false">ROUND(_xlfn.STDEV.S(C3:G3),2)</f>
        <v>4.12</v>
      </c>
      <c r="H12" s="40"/>
    </row>
    <row r="13" customFormat="false" ht="14.25" hidden="false" customHeight="true" outlineLevel="0" collapsed="false">
      <c r="B13" s="26" t="n">
        <v>0.3</v>
      </c>
      <c r="C13" s="14" t="n">
        <f aca="false">AVERAGE(C4:G4)</f>
        <v>34.4</v>
      </c>
      <c r="D13" s="14" t="n">
        <f aca="false">ROUND(_xlfn.STDEV.S(C4:G4),2)</f>
        <v>2.72</v>
      </c>
      <c r="H13" s="39"/>
    </row>
    <row r="14" customFormat="false" ht="14.25" hidden="false" customHeight="true" outlineLevel="0" collapsed="false">
      <c r="B14" s="26" t="n">
        <v>0.5</v>
      </c>
      <c r="C14" s="14" t="n">
        <f aca="false">AVERAGE(C5:G5)</f>
        <v>26.88</v>
      </c>
      <c r="D14" s="14" t="n">
        <f aca="false">ROUND(_xlfn.STDEV.S(C5:G5),2)</f>
        <v>3.84</v>
      </c>
      <c r="H14" s="34"/>
    </row>
    <row r="15" customFormat="false" ht="14.25" hidden="false" customHeight="false" outlineLevel="0" collapsed="false">
      <c r="B15" s="14" t="s">
        <v>0</v>
      </c>
      <c r="C15" s="14" t="n">
        <f aca="false">'Control Pea Total Length'!E8</f>
        <v>29.18</v>
      </c>
      <c r="D15" s="14" t="n">
        <f aca="false">'Control Pea Total Length'!F8</f>
        <v>5.98</v>
      </c>
      <c r="E15" s="34"/>
      <c r="F15" s="34"/>
      <c r="G15" s="34"/>
      <c r="H15" s="34"/>
      <c r="I15" s="40"/>
      <c r="J15" s="40"/>
    </row>
    <row r="16" customFormat="false" ht="14.25" hidden="false" customHeight="false" outlineLevel="0" collapsed="false">
      <c r="H16" s="34"/>
    </row>
    <row r="17" customFormat="false" ht="14.25" hidden="false" customHeight="false" outlineLevel="0" collapsed="false">
      <c r="H17" s="34"/>
    </row>
    <row r="18" customFormat="false" ht="14.25" hidden="false" customHeight="false" outlineLevel="0" collapsed="false">
      <c r="H18" s="40"/>
    </row>
  </sheetData>
  <mergeCells count="3">
    <mergeCell ref="A1:A5"/>
    <mergeCell ref="B9:B10"/>
    <mergeCell ref="C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O15" activeCellId="0" sqref="O15"/>
    </sheetView>
  </sheetViews>
  <sheetFormatPr defaultColWidth="9" defaultRowHeight="13.5" zeroHeight="false" outlineLevelRow="0" outlineLevelCol="0"/>
  <cols>
    <col collapsed="false" customWidth="true" hidden="false" outlineLevel="0" max="2" min="2" style="0" width="14.5"/>
    <col collapsed="false" customWidth="true" hidden="false" outlineLevel="0" max="39" min="3" style="0" width="9.63"/>
  </cols>
  <sheetData>
    <row r="1" customFormat="false" ht="16.5" hidden="false" customHeight="false" outlineLevel="0" collapsed="false">
      <c r="A1" s="24" t="s">
        <v>25</v>
      </c>
      <c r="B1" s="25" t="s">
        <v>28</v>
      </c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8" t="s">
        <v>21</v>
      </c>
    </row>
    <row r="2" customFormat="false" ht="13.5" hidden="false" customHeight="false" outlineLevel="0" collapsed="false">
      <c r="A2" s="24"/>
      <c r="B2" s="26" t="n">
        <v>0.1</v>
      </c>
      <c r="C2" s="8" t="n">
        <v>38.5</v>
      </c>
      <c r="D2" s="8" t="n">
        <v>35</v>
      </c>
      <c r="E2" s="8" t="n">
        <v>35</v>
      </c>
      <c r="F2" s="8" t="n">
        <v>34</v>
      </c>
      <c r="G2" s="8" t="n">
        <v>35</v>
      </c>
      <c r="H2" s="14" t="n">
        <f aca="false">AVERAGE(C2:G2)</f>
        <v>35.5</v>
      </c>
    </row>
    <row r="3" customFormat="false" ht="13.5" hidden="false" customHeight="false" outlineLevel="0" collapsed="false">
      <c r="A3" s="24"/>
      <c r="B3" s="26" t="n">
        <v>0.2</v>
      </c>
      <c r="C3" s="8" t="n">
        <v>36.5</v>
      </c>
      <c r="D3" s="8" t="n">
        <v>38</v>
      </c>
      <c r="E3" s="8" t="n">
        <v>38</v>
      </c>
      <c r="F3" s="8" t="n">
        <v>35</v>
      </c>
      <c r="G3" s="8" t="n">
        <v>32</v>
      </c>
      <c r="H3" s="14" t="n">
        <f aca="false">AVERAGE(C3:G3)</f>
        <v>35.9</v>
      </c>
    </row>
    <row r="4" customFormat="false" ht="13.5" hidden="false" customHeight="false" outlineLevel="0" collapsed="false">
      <c r="A4" s="24"/>
      <c r="B4" s="26" t="n">
        <v>0.3</v>
      </c>
      <c r="C4" s="8" t="n">
        <v>31.5</v>
      </c>
      <c r="D4" s="8" t="n">
        <v>26.2</v>
      </c>
      <c r="E4" s="8" t="n">
        <v>34.5</v>
      </c>
      <c r="F4" s="8" t="n">
        <v>22.5</v>
      </c>
      <c r="G4" s="8" t="n">
        <v>26.7</v>
      </c>
      <c r="H4" s="14" t="n">
        <f aca="false">AVERAGE(C4:G4)</f>
        <v>28.28</v>
      </c>
    </row>
    <row r="5" customFormat="false" ht="13.5" hidden="false" customHeight="false" outlineLevel="0" collapsed="false">
      <c r="A5" s="24"/>
      <c r="B5" s="26" t="n">
        <v>0.5</v>
      </c>
      <c r="C5" s="8" t="n">
        <v>14.8</v>
      </c>
      <c r="D5" s="8" t="n">
        <v>18.5</v>
      </c>
      <c r="E5" s="8" t="n">
        <v>20.7</v>
      </c>
      <c r="F5" s="8" t="n">
        <v>19.4</v>
      </c>
      <c r="G5" s="8" t="n">
        <v>13.6</v>
      </c>
      <c r="H5" s="14" t="n">
        <f aca="false">AVERAGE(C5:G5)</f>
        <v>17.4</v>
      </c>
    </row>
    <row r="7" customFormat="false" ht="13.5" hidden="false" customHeight="false" outlineLevel="0" collapsed="false">
      <c r="H7" s="41"/>
    </row>
    <row r="8" customFormat="false" ht="13.5" hidden="false" customHeight="false" outlineLevel="0" collapsed="false">
      <c r="H8" s="27"/>
    </row>
    <row r="9" customFormat="false" ht="14.25" hidden="false" customHeight="true" outlineLevel="0" collapsed="false">
      <c r="B9" s="25" t="s">
        <v>26</v>
      </c>
      <c r="C9" s="29" t="s">
        <v>25</v>
      </c>
      <c r="D9" s="29"/>
      <c r="H9" s="27"/>
    </row>
    <row r="10" customFormat="false" ht="14.25" hidden="false" customHeight="true" outlineLevel="0" collapsed="false">
      <c r="B10" s="25"/>
      <c r="C10" s="28" t="s">
        <v>21</v>
      </c>
      <c r="D10" s="28" t="s">
        <v>27</v>
      </c>
      <c r="H10" s="27"/>
    </row>
    <row r="11" customFormat="false" ht="14.25" hidden="false" customHeight="true" outlineLevel="0" collapsed="false">
      <c r="B11" s="26" t="n">
        <v>0.1</v>
      </c>
      <c r="C11" s="14" t="n">
        <f aca="false">AVERAGE(C2:G2)</f>
        <v>35.5</v>
      </c>
      <c r="D11" s="14" t="n">
        <f aca="false">ROUND(_xlfn.STDEV.S(C2:G2),2)</f>
        <v>1.73</v>
      </c>
      <c r="H11" s="27"/>
    </row>
    <row r="12" customFormat="false" ht="14.25" hidden="false" customHeight="true" outlineLevel="0" collapsed="false">
      <c r="B12" s="26" t="n">
        <v>0.2</v>
      </c>
      <c r="C12" s="14" t="n">
        <f aca="false">AVERAGE(C3:G3)</f>
        <v>35.9</v>
      </c>
      <c r="D12" s="14" t="n">
        <f aca="false">ROUND(_xlfn.STDEV.S(C3:G3),2)</f>
        <v>2.51</v>
      </c>
    </row>
    <row r="13" customFormat="false" ht="14.25" hidden="false" customHeight="true" outlineLevel="0" collapsed="false">
      <c r="B13" s="26" t="n">
        <v>0.3</v>
      </c>
      <c r="C13" s="14" t="n">
        <f aca="false">AVERAGE(C4:G4)</f>
        <v>28.28</v>
      </c>
      <c r="D13" s="14" t="n">
        <f aca="false">ROUND(_xlfn.STDEV.S(C4:G4),2)</f>
        <v>4.72</v>
      </c>
      <c r="H13" s="41"/>
    </row>
    <row r="14" customFormat="false" ht="14.25" hidden="false" customHeight="true" outlineLevel="0" collapsed="false">
      <c r="B14" s="26" t="n">
        <v>0.5</v>
      </c>
      <c r="C14" s="14" t="n">
        <f aca="false">AVERAGE(C5:G5)</f>
        <v>17.4</v>
      </c>
      <c r="D14" s="14" t="n">
        <f aca="false">ROUND(_xlfn.STDEV.S(C5:G5),2)</f>
        <v>3.05</v>
      </c>
      <c r="H14" s="27"/>
    </row>
    <row r="15" customFormat="false" ht="13.5" hidden="false" customHeight="false" outlineLevel="0" collapsed="false">
      <c r="B15" s="14" t="s">
        <v>0</v>
      </c>
      <c r="C15" s="14" t="n">
        <f aca="false">'Control Pea Total Length'!E8</f>
        <v>29.18</v>
      </c>
      <c r="D15" s="14" t="n">
        <f aca="false">'Control Pea Total Length'!F8</f>
        <v>5.98</v>
      </c>
      <c r="E15" s="27"/>
      <c r="F15" s="27"/>
      <c r="G15" s="27"/>
      <c r="H15" s="27"/>
    </row>
    <row r="16" customFormat="false" ht="13.5" hidden="false" customHeight="false" outlineLevel="0" collapsed="false">
      <c r="H16" s="27"/>
    </row>
    <row r="17" customFormat="false" ht="13.5" hidden="false" customHeight="false" outlineLevel="0" collapsed="false">
      <c r="H17" s="27"/>
    </row>
    <row r="18" customFormat="false" ht="14.25" hidden="false" customHeight="false" outlineLevel="0" collapsed="false"/>
  </sheetData>
  <mergeCells count="3">
    <mergeCell ref="A1:A5"/>
    <mergeCell ref="B9:B10"/>
    <mergeCell ref="C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2026-05-06T10:26:00Z</dcterms:created>
  <dc:creator>Abhinav Raj</dc:creator>
  <dc:description/>
  <dc:language>en-US</dc:language>
  <cp:lastModifiedBy/>
  <dcterms:modified xsi:type="dcterms:W3CDTF">2026-06-16T14:02:45Z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CB63A46922A84EFE88666496FE0C1608_13</vt:lpwstr>
  </property>
  <property fmtid="{D5CDD505-2E9C-101B-9397-08002B2CF9AE}" pid="4" name="KSOProductBuildVer">
    <vt:lpwstr>1033-12.1.0.26372</vt:lpwstr>
  </property>
</Properties>
</file>